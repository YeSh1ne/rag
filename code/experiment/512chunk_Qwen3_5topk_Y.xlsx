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D6AA83B2-7831-4621-B23D-6819B6F35C09}" xr6:coauthVersionLast="47" xr6:coauthVersionMax="47" xr10:uidLastSave="{00000000-0000-0000-0000-000000000000}"/>
  <bookViews>
    <workbookView xWindow="12710" yWindow="0" windowWidth="12980" windowHeight="137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<sst xmlns="http://schemas.openxmlformats.org/spreadsheetml/2006/main" count="226" uniqueCount="162">
  <si>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</si>
  <si>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</si>
  <si>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</si>
  <si>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</si>
  <si>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</si>
  <si>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</si>
  <si>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</si>
  <si>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</si>
  <si>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</si>
  <si>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</si>
  <si>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</si>
  <si>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</si>
  <si>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</si>
  <si>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</si>
  <si>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</si>
  <si>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</si>
  <si>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</si>
  <si>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</si>
  <si>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</si>
  <si>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</si>
  <si>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</si>
  <si>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</si>
  <si>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</si>
  <si>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</si>
  <si>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</si>
  <si>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</si>
  <si>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</si>
  <si>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</si>
  <si>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</si>
  <si>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</si>
  <si>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</si>
  <si>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</si>
  <si>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</si>
  <si>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</si>
  <si>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</si>
  <si>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</si>
  <si>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</si>
  <si>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</si>
  <si>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</si>
  <si>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</si>
  <si>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</si>
  <si>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</si>
  <si>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</si>
  <si>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</si>
  <si>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</si>
  <si>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</si>
  <si>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</si>
  <si>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</si>
  <si>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</si>
  <si>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</si>
  <si>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</si>
  <si>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</si>
  <si>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</si>
  <si>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</si>
  <si>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</si>
  <si>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CypherBench 是如何从 RDF 图生成领域特定属性图的？</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</si>
  <si>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</si>
  <si>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</si>
  <si>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</si>
  <si>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</si>
  <si>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</si>
  <si>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</si>
  <si>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</si>
  <si>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</si>
  <si>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</si>
  <si>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</si>
  <si>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</si>
  <si>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</si>
  <si>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</si>
  <si>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</si>
  <si>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</si>
  <si>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</si>
  <si>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</si>
  <si>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</si>
  <si>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</si>
  <si>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</si>
  <si>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</si>
  <si>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</si>
  <si>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</si>
  <si>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</si>
  <si>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</si>
  <si>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</si>
  <si>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</si>
  <si>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</si>
  <si>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</si>
  <si>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</si>
  <si>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</si>
  <si>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</si>
  <si>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</si>
  <si>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</si>
  <si>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</si>
  <si>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</si>
  <si>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</si>
  <si>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</si>
  <si>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</si>
  <si>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</si>
  <si>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</si>
  <si>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</si>
  <si>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</si>
  <si>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</si>
  <si>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</si>
  <si>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</si>
  <si>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</si>
  <si>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</si>
  <si>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</si>
  <si>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</si>
  <si>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</si>
  <si>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</si>
  <si>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</si>
  <si>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</si>
  <si>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</si>
  <si>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</si>
  <si>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</si>
  <si>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</si>
  <si>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</si>
  <si>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</si>
  <si>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</si>
  <si>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</si>
  <si>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</si>
  <si>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</si>
  <si>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作者将post-training scaling分为三个主要方法：监督微调（Supervised Fine-tuning）、强化学习（Reinforcement Learning）和测试时计算（Test-time Compute）。
来自: [A Survey of Post-Training Scaling in Large Language Models, 第2页, A Survey of Post-Training Scaling in Large Language Models_chunk_004]</t>
  </si>
  <si>
    <t>Silver noise 是指包含部分但不完整答案的噪声。
来自: [SafeRAG: Benchmarking Security in Retrieval-Augmented Generation of Large Language Model, 第4页, SafeRAG: Benchmarking Security in Retrieval-Augmented Generation of Large Language Model_chunk_009]</t>
  </si>
  <si>
    <t>RAG噪声被分为有益噪声和有害噪声两类。
来自: [Pandora’s Box or Aladdin’s Lamp: A Comprehensive Analysis Revealing the Role of RAG Noise in Large Language Models, 第2页, Pandora’s Box or Aladdin’s Lamp: A Comprehensive Analysis Revealing the Role of RAG Noise in Large Language Models_chunk_005]</t>
  </si>
  <si>
    <t>Ref-Long是一个评估长上下文语言模型（LCLMs）长上下文引用能力的基准，它要求模型不仅检索特定关键词，还要识别出所有引用该关键词的文档索引，强调关键词与文档之间的上下文关系。
来自: [Ref-Long: Benchmarking the Long-context Referencing Capability of Long-context Language Models, 第1页, Ref-Long: Benchmarking the Long-context Referencing Capability of Long-context Language Models_chunk_000]</t>
  </si>
  <si>
    <t>SYNQA是一种生成式方法，通过给定选定的上下文句子，让大语言模型生成完全由这些句子支持的问题-答案对。
来自: [On Synthesizing Data for Context Attribution in Question Answering, 第2页, On Synthesizing Data for Context Attribution in Question Answering_chunk_004]</t>
  </si>
  <si>
    <t>根据提供的论文片段，SYNQA 的数据生成方式是：使用维基百科句子，提示大语言模型（LLM）生成一个完全由这些句子支撑的问答对。
关于 RHIO 的数据生成方式及其与 SYNQA 在提升模型归因能力上的不同，根据已有信息，无法回答此问题，因为提供的片段中未提及 RHIO 方法。
来自: [On Synthesizing Data for Context Attribution in Question Answering, 第2页, On Synthesizing Data for Context Attribution in Question Answering_chunk_003]</t>
  </si>
  <si>
    <t>AgenticLU是一个通过集成目标自我澄清与上下文锚定来增强大语言模型长上下文理解的框架。
来自: [Self-Taught Agentic Long-Context Understanding, 第1页, Self-Taught Agentic Long-Context Understanding_chunk_000]</t>
  </si>
  <si>
    <t>Agentic Reasoning是一个通过集成外部基于LLM的代理工具（如网络搜索、编码和思维导图）来增强大语言模型推理能力的框架。
来自: [Agentic Reasoning: A Streamlined Framework for Enhancing LLM Reasoning with Agentic Tools, 第2页, Agentic Reasoning: A Streamlined Framework for Enhancing LLM Reasoning with Agentic Tools_chunk_004]</t>
  </si>
  <si>
    <t>Agentic Reasoning 与 DeepSeek-R1 结合后，在 Humanity's Last Exam 上的准确率达到 23.8%，相比基础模型 DeepSeek-R1 的 9.4% 提升了 14.4 个百分点；与 OpenAI Deep Research（26.6%）的差距缩小至 2.8%。
来自: [Agentic Reasoning: A Streamlined Framework for Enhancing LLM Reasoning with Agentic Tools, 第1页, Agentic Reasoning: A Streamlined Framework for Enhancing LLM Reasoning with Agentic Tools_chunk_002]</t>
  </si>
  <si>
    <t>在GAIA基准测试中，Agentic Reasoning在Level 1上得分为74.36，Level 2上为69.21，Level 3上为45.46，平均分66.13，在所有公开方法中取得了新的最优结果。
来自: [Agentic Reasoning: A Streamlined Framework for Enhancing LLM Reasoning with Agentic Tools, 第5页, Agentic Reasoning: A Streamlined Framework for Enhancing LLM Reasoning with Agentic Tools_chunk_010]</t>
  </si>
  <si>
    <t>REAL-MM-RAG 基准测试旨在解决的四个关键属性是：(i) 多模态文档（Multi-modal documents），即数据集应包含文本、图表、表格等视觉元素；(ii) 增强难度（Enhanced difficulty），查询需要超越简单关键词匹配，并在大量上下文相似的页面中进行挑战性评估；(iii) 真实 RAG 查询（Realistic-RAG queries），问题必须以自然方式提出，不显式引用页面；(iv) 准确标注（Accurate labeling），所有与查询相关的文档必须被正确且穷尽地标注，以避免低估检索性能并防止假阴性。
来自: [REAL-MM-RAG:AReal-World Multi-Modal Retrieval Benchmark, 第1页, REAL-MM-RAG:AReal-World Multi-Modal Retrieval Benchmark_chunk_001]</t>
  </si>
  <si>
    <t>ASTUTE RAG是一种新颖的RAG方法，旨在对不完美的检索增强具有鲁棒性，同时在检索可靠时保持RAG的接地效果，通过区分和整合LLM内部知识与外部检索信息中的一致和冲突信息。它用于提高RAG系统的鲁棒性，特别是在最坏检索情况下，能达到或超过无检索模式的性能。
来自: [ASTUTE RAG: Overcoming Imperfect Retrieval Augmentation and Knowledge Conflicts for Large Language Models, 第2页, ASTUTE RAG: Overcoming Imperfect Retrieval Augmentation and Knowledge Conflicts for Large Language Models_chunk_004]</t>
  </si>
  <si>
    <t>在ASTUTE RAG中，knowledge consolidation过程包含三个主要步骤：识别跨段落的一致信息、检测各组一致信息之间的冲突、以及过滤掉无关信息。
来自: [ASTUTE RAG: Overcoming Imperfect Retrieval Augmentation and Knowledge Conflicts for Large Language Models, 第5页, ASTUTE RAG: Overcoming Imperfect Retrieval Augmentation and Knowledge Conflicts for Large Language Models_chunk_011]</t>
  </si>
  <si>
    <t>L-CiteEval 是一个开箱即用的评估套件，要求长上下文模型生成陈述及其支持证据（引用），并包含一个多任务长上下文基准和相应的自动评估管道。
来自: [L-CiteEval: A Suite for Evaluating Fidelity of Long-context Models, 第1页, L-CiteEval: A Suite for Evaluating Fidelity of Long-context Models_chunk_002]</t>
  </si>
  <si>
    <t>人类专家在15分钟时间限制下的准确率为53.7%。
来自: [LongBench v2: Towards Deeper Understanding and Reasoning on Realistic Long-context Multitasks, 第1页, LongBench v2: Towards Deeper Understanding and Reasoning on Realistic Long-context Multitasks_chunk_000]</t>
  </si>
  <si>
    <t>LongBench v2基准测试包含503个问题，上下文长度范围为8k至2M词。
来自: [LongBench v2: Towards Deeper Understanding and Reasoning on Realistic Long-context Multitasks, 第1页, LongBench v2: Towards Deeper Understanding and Reasoning on Realistic Long-context Multitasks_chunk_002]</t>
    <phoneticPr fontId="2" type="noConversion"/>
  </si>
  <si>
    <t>RHIO框架的三个主要组成部分是：不忠实数据增强（unfaithful data augmentation）、忠实性感知调优（faithfulness-aware tuning）和自诱导解码（self-induced decoding）。
来自: [Improving Contextual Faithfulness of Large Language Models via Retrieval Heads-Induced Optimization, 第15页, Improving Contextual Faithfulness of Large Language Models via Retrieval Heads-Induced Optimization_chunk_030]</t>
  </si>
  <si>
    <t>作者发现使用标准的短上下文指令数据集（如UltraChat）能够在长上下文任务上取得最佳性能，而添加长合成指令数据反而会损害性能。
来自: [How to Train Long-Context Language Models (Effectively), 第1页, How to Train Long-Context Language Models (Effectively)_chunk_002]</t>
  </si>
  <si>
    <t>LongRefiner 通过将推理过程拆分为离线和在线两个阶段来降低在线延迟：离线阶段预先对语料库中的文档执行层次化文档结构化任务，在线阶段仅需处理用户查询分析及自适应精炼，由于在线阶段只需处理数百个输入 token 并生成数十个输出 token，整体延迟仅为标准设置的约 25%。
来自: [Hierarchical Document Refinement for Long-context Retrieval-augmented Generation, 第6页, Hierarchical Document Refinement for Long-context Retrieval-augmented Generation_chunk_013]</t>
  </si>
  <si>
    <t>DRAG的隐私保护机制是：本地小模型先对用户查询进行改写，剥离敏感信息，然后将去标识化的查询发送至云端大模型；云端大模型仅返回相关证据和知识图谱，而非直接生成答案；本地小模型再利用这些证据和知识图谱生成最终回答，从而避免用户隐私数据直接暴露给云端。
来自: [DRAG: Distilling RAG for SLMs from LLMs to Transfer Knowledge and Mitigate Hallucination via Evidence and Graph-based Distillation, 第5页, DRAG: Distilling RAG for SLMs from LLMs to Transfer Knowledge and Mitigate Hallucination via Evidence and Graph-based Distillation_chunk_010] 和 [DRAG: Distilling RAG for SLMs from LLMs to Transfer Knowledge and Mitigate Hallucination via Evidence and Graph-based Distillation, 第1页, DRAG: Distilling RAG for SLMs from LLMs to Transfer Knowledge and Mitigate Hallucination via Evidence and Graph-based Distillation_chunk_001]</t>
  </si>
  <si>
    <t>SG-MCTS将归因文本生成建模为多步推理问题，构建搜索树，每个节点包含查询、检索段落、生成的句子和引用。每次迭代执行四个步骤：**选择**（基于UCT选择最优节点）、**反射引导的扩展**（利用LLM的自我反思能力实时批评和改进中间状态，生成查询、检索、生成句子和引用）、**评估**（通过进度奖励模型计算生成进度奖励和归因进度奖励的总和）以及**反向传播**。最终输出由根到叶路径上各节点句子连接而成。
来自: [Think&amp;Cite: Improving Attributed Text Generation with Self-Guided Tree Search and Progress Reward Modeling, 第3页, Think&amp;Cite: Improving Attributed Text Generation with Self-Guided Tree Search and Progress Reward Modeling_chunk_006]  
来自: [Think&amp;Cite: Improving Attributed Text Generation with Self-Guided Tree Search and Progress Reward Modeling, 第4页, Think&amp;Cite: Improving Attributed Text Generation with Self-Guided Tree Search and Progress Reward Modeling_chunk_008]  
来自: [Think&amp;Cite: Improving Attributed Text Generation with Self-Guided Tree Search and Progress Reward Modeling, 第1页, Think&amp;Cite: Improving Attributed Text Generation with Self-Guided Tree Search and Progress Reward Modeling_chunk_001]</t>
  </si>
  <si>
    <t>SETR 的段落选择提示引导的关键过程包含三个步骤：  
1. 列举回答问题所需的关键信息需求；  
2. 为每个信息需求找出包含相关信息的段落；  
3. 选择一组段落，使其共同提供最全面、多样化的信息覆盖，以有效回答查询。  
来自: [Shifting from Ranking to Set Selection for Retrieval Augmented Generation, 第3页, Shifting from Ranking to Set Selection for Retrieval Augmented Generation_chunk_006]</t>
  </si>
  <si>
    <t>α参数的最优范围是0.65到0.8。它的作用是在工具检索中平衡工具描述和参数描述的贡献，以优化检索命中率。
来自: [Meta-Tool: Unleash Open-World Function Calling Capabilities of General-Purpose Large Language Models, 第20页, Meta-Tool: Unleash Open-World Function Calling Capabilities of General-Purpose Large Language Models_chunk_033]</t>
  </si>
  <si>
    <t>CypherBench 通过执行 SPARQL 查询并聚合结果，将 RDF 图转换为多个领域特定的属性图（即物化视图），每个图包含符合其领域模式的所有实体和关系；转换层还负责数据类型转换和单位标准化，生成模式强制、严格类型化的数据。
来自: [CYPHERBENCH: Towards Precise Retrieval over Full-scale Modern Knowledge Graphs in the LLM Era, 第4页, CYPHERBENCH: Towards Precise Retrieval over Full-scale Modern Knowledge Graphs in the LLM Era_chunk_007]  
来自: [CYPHERBENCH: Towards Precise Retrieval over Full-scale Modern Knowledge Graphs in the LLM Era, 第1页, CYPHERBENCH: Towards Precise Retrieval over Full-scale Modern Knowledge Graphs in the LLM Era_chunk_003]</t>
  </si>
  <si>
    <t>ClinRaGen的三阶段理由蒸馏范式是：第一阶段仅使用医疗笔记训练小语言模型，使其生成基于笔记的理由，建立文本临床推理基础；第二阶段引入知识增强注意力，将数值实验室测试与结构化医学知识对齐，蒸馏出基于实验室测试的理由；第三阶段完全融合文本与数值输入，使模型生成临床连贯的多模态理由以支持疾病诊断。
来自: [Knowledge-Augmented Multimodal Clinical Rationale Generation for Disease Diagnosis with Small Language Models, 第4页, Knowledge-Augmented Multimodal Clinical Rationale Generation for Disease Diagnosis with Small Language Models_chunk_008]</t>
  </si>
  <si>
    <t>QAEncoder通过生成多样化的查询（如5W1H），利用蒙特卡洛方法估计这些查询的聚类中心，并用该聚类中心替代原始文档嵌入，使文档表示与查询语义对齐，从而弥合文档-查询差距。同时，引入文档指纹策略来保持文档的可区分性，避免表示过于相似。
来自: [QAEncoder: Towards Aligned Representation Learning in Question Answering Systems, 第1页, QAEncoder: Towards Aligned Representation Learning in Question Answering Systems_chunk_003] [QAEncoder: Towards Aligned Representation Learning in Question Answering Systems, 第2页, QAEncoder: Towards Aligned Representation Learning in Question Answering Systems_chunk_004]</t>
  </si>
  <si>
    <t>QAEncoder侧重于优化QA系统的**检索阶段**，其核心痛点是文档与用户查询之间的语义差距（document-query gap），以及现有查询中心方法在密集检索器上难以应用的问题。  
On Synthesizing Data for Context Attribution in Question Answering侧重于优化QA系统的**生成后归因验证阶段**，其核心痛点是缺乏高质量的人工标注数据来训练归因模型，导致对昂贵人工标注的依赖。
来自: [QAEncoder: Towards Aligned Representation Learning in Question Answering Systems, 第1页, QAEncoder: Towards Aligned Representation Learning in Question Answering Systems_chunk_003]  
来自: [QAEncoder: Towards Aligned Representation Learning in Question Answering Systems, 第2页, QAEncoder: Towards Aligned Representation Learning in Question Answering Systems_chunk_004]  
来自: [On Synthesizing Data for Context Attribution in Question Answering, 第9页, On Synthesizing Data for Context Attribution in Question Answering_chunk_023]</t>
  </si>
  <si>
    <t>在文本简化任务中，HALOGEN 采用与摘要任务相同的验证流程：先用 GPT-3.5 将模型生成的简化文本分解为独立的原子事实，再用 Llama-2-70B 对每个原子事实进行蕴含判断，以验证其是否忠实于原文。
来自: [HALOGEN :FantasticLLMHallucinations and Where to Find Them, 第3页, HALOGEN :FantasticLLMHallucinations and Where to Find Them_chunk_006]</t>
  </si>
  <si>
    <t>在 HALoGEN 基准测试中，表现最好的 LLM（GPT-4）生成事实的幻觉率范围是 3% 到 86%，具体取决于任务类型。
来自: [HALOGEN :FantasticLLMHallucinations and Where to Find Them, 第1页, HALOGEN :FantasticLLMHallucinations and Where to Find Them_chunk_001]</t>
  </si>
  <si>
    <t>在Cited scenario中，GPT-4o表现最佳，而Llama-3-70B与GPT-4o-mini性能相当；在Full scenario中，Llama-3-70B优于GPT-4o，并取得了最佳性能。
来自: [CiteEval: Principle-Driven Citation Evaluation for Source Attribution, 第7页, CiteEval: Principle-Driven Citation Evaluation for Source Attribution_chunk_018]</t>
  </si>
  <si>
    <t>在FaithEval数据集上，使用Mistral-7B作为backbone的FaithfulRAG准确率为81.7%，相比最强基线（KRE的73.2%）提高了8.5%。
来自: [FaithfulRAG: Fact-Level Conflict Modeling for Context-Faithful Retrieval-Augmented Generation, 第7页, FaithfulRAG: Fact-Level Conflict Modeling for Context-Faithful Retrieval-Augmented Generation_chunk_019]</t>
  </si>
  <si>
    <t>《Astute RAG》通过“自适应生成内部知识（adaptive generation of internal knowledge）”机制，利用大模型直接生成内部段落（internal passages）来提取内部知识。  
《FaithfulRAG》则通过“Self-Fact Mining”模块，采用分层式外部化过程（包括Self-Knowledge Extraction、Self-Context Generation、Self-Fact Extraction）从参数化知识中提取细粒度的自我事实（self-facts）。
来自: [ASTUTE RAG: Overcoming Imperfect Retrieval Augmentation and Knowledge Conflicts for Large Language Models, 第4页, ASTUTE RAG: Overcoming Imperfect Retrieval Augmentation and Knowledge Conflicts for Large Language Models_chunk_008]  
来自: [FaithfulRAG: Fact-Level Conflict Modeling for Context-Faithful Retrieval-Augmented Generation, 第4页, FaithfulRAG: Fact-Level Conflict Modeling for Context-Faithful Retrieval-Augmented Generation_chunk_010]</t>
  </si>
  <si>
    <t>RankCoT 在整体性能上比 vanilla RAG 模型平均提升了 2.5% 的准确率，并且在 Has-Answer、Miss-Answer 和 Internal Knowledge 等不同测试场景下均表现更优。这说明 RankCoT 能够有效提取查询相关信息、过滤噪声并处理知识冲突，从而为 LLM 提供更有意义的精炼知识，提升 RAG 系统的回答准确性。
来自: [RankCoT: Refining Knowledge for Retrieval-Augmented Generation through Ranking Chain-of-Thoughts, 第6页, RankCoT: Refining Knowledge for Retrieval-Augmented Generation through Ranking Chain-of-Thoughts_chunk_018] [RankCoT: Refining Knowledge for Retrieval-Augmented Generation through Ranking Chain-of-Thoughts, 第7页, RankCoT: Refining Knowledge for Retrieval-Augmented Generation through Ranking Chain-of-Thoughts_chunk_022]</t>
  </si>
  <si>
    <t>AGENTSTAR在WebShop、ALFWorld和BabyAI任务上均优于GPT-4-Turbo，分别高出61.00、20.50和9.87分。
来自: [AGENTGYM: Evaluating and Training Large Language Model-based Agents across Diverse Environments, 第7页, AGENTGYM: Evaluating and Training Large Language Model-based Agents across Diverse Environments_chunk_020]</t>
  </si>
  <si>
    <t>LongBench v2 是一个评估基准，用于测试大语言模型在真实长上下文多任务场景下的深度理解与推理能力；AGENTGYM 则是一个交互式框架，旨在支持基于大语言模型的智能体在多种环境中的统一评估、探索与自我改进训练。前者聚焦于静态的长文本理解与问答评测，后者聚焦于动态的多环境决策任务中智能体的开发与训练。
来自: [LongBench v2: Towards Deeper Understanding and Reasoning on Realistic Long-context Multitasks, 第1页, LongBench v2: Towards Deeper Understanding and Reasoning on Realistic Long-context Multitasks_chunk_000]；[AGENTGYM: Evaluating and Training Large Language Model-based Agents across Diverse Environments, 第1页, AGENTGYM: Evaluating and Training Large Language Model-based Agents across Diverse Environments_chunk_001]；[AGENTGYM: Evaluating and Training Large Language Model-based Agents across Diverse Environments, 第1页, AGENTGYM: Evaluating and Training Large Language Model-based Agents across Diverse Environments_chunk_002]</t>
  </si>
  <si>
    <t>人类医生在所有专科的诊断准确率上均优于Med-MLLMs。即使是一名初级医生，其平均准确率（57.4%）也略高于表现最好的Med-MLLM GPT-4V（54.3%）。GPT-4V的表现与初级医生相当，显示出辅助诊断的潜力，但当前Med-MLLMs仍不能替代人类临床判断，整合到临床工作流程中需谨慎。
来自: [Asclepius: A Spectrum Evaluation Benchmark for Medical Multi-Modal Large Language Models, 第7页, Asclepius: A Spectrum Evaluation Benchmark for Medical Multi-Modal Large Language Models_chunk_016]
来自: [Asclepius: A Spectrum Evaluation Benchmark for Medical Multi-Modal Large Language Models, 第6页, Asclepius: A Spectrum Evaluation Benchmark for Medical Multi-Modal Large Language Models_chunk_013]</t>
  </si>
  <si>
    <t>在LongDocURL基准测试中，GPT-4o是唯一达到及格标准的模型，得分最高，为64.5分。在开源模型中，只有Qwen2-VL（得分30.6）和LLaVA-OneVision（得分22.0和25.0）超过了20分，整体表现与闭源模型存在较大差距。
来自: [LongDocURL: a Comprehensive Multimodal Long Document Benchmark Integrating Understanding, Reasoning, and Locating, 第6页, LongDocURL: a Comprehensive Multimodal Long Document Benchmark Integrating Understanding, Reasoning, and Locating_chunk_013]</t>
  </si>
  <si>
    <t>RAGEval 使用 LLM 对提出的指标（完整性、幻觉、无关性）进行评分，与人工评估表现出高度一致性。
来自: [RAGEval: Scenario Specific RAG Evaluation Dataset Generation Framework, 第1页, RAGEval: Scenario Specific RAG Evaluation Dataset Generation Framework_chunk_000]</t>
  </si>
  <si>
    <t>UniRAG的核心创新在于提出统一的查询理解框架，将查询增强与编码任务联合执行，消除任务分离带来的信息共享障碍和累积误差，并能根据用户查询自适应选择最优增强策略（如查询改写、扩展、抽象）。FaithfulRAG的核心创新则并非直接针对查询理解，而是通过自事实挖掘模块将模型对问题的理解外化为细粒度事实，再通过自思考模块定位并推理上下文与模型参数知识之间的冲突，从而在保持准确知识整合的同时实现上下文忠实性。
来自: [UniRAG: Unified Query Understanding Method for Retrieval Augmented Generation, 第1页, UniRAG: Unified Query Understanding Method for Retrieval Augmented Generation_chunk_000]
来自: [FaithfulRAG: Fact-Level Conflict Modeling for Context-Faithful Retrieval-Augmented Generation, 第2页, FaithfulRAG: Fact-Level Conflict Modeling for Context-Faithful Retrieval-Augmented Generation_chunk_005]</t>
  </si>
  <si>
    <t>MEMERAG和DragonBall都是用于RAG系统的评估基准，但设计目标和评估维度不同。  
- **MEMERAG**是一个多语言端到端元评估基准，核心目的是评估自动评估器的可靠性，关注的评估维度是**忠实性（Faithfulness）**和**相关性（Relevance）**。  
- **DragonBall**是一个面向多场景（金融、法律、医疗）的RAG全场景基准，其评估框架涵盖检索和生成两个阶段，并定义了检索召回率等指标，但片段中未明确列出其核心评估维度（如是否包含忠实性、相关性等）。  
两者的共同点在于都支持多语言（MEMERAG覆盖5种语言，DragonBall覆盖中英文），且都包含人工或自动构建的问答数据。不同点在于MEMERAG专注于元评估（评估评估器），而DragonBall直接评估RAG系统的检索和生成效果，且领域针对性更强。
来自: [MEMERAG:AMultilingual End-to-End Meta-Evaluation Benchmark for Retrieval Augmented Generation, 第3页, MEMERAG:AMultilingual End-to-End Meta-Evaluation Benchmark for Retrieval Augmented Generation_chunk_007]  
来自: [RAGEval: Scenario Specific RAG Evaluation Dataset Generation Framework, 第4页, RAGEval: Scenario Specific RAG Evaluation Dataset Generation Framework_chunk_008]</t>
  </si>
  <si>
    <t>AR-MCTS 的核心机制是结合蒙特卡洛树搜索（MCTS）与主动检索（Active Retrieval），在扩展阶段自动获取高质量的分步推理标注，并引入过程奖励模型进行逐步验证。Agentic Reasoning 的核心机制是集成外部基于LLM的代理作为工具，包括网页搜索代理、代码代理和记忆代理（Mind-Map），以增强推理过程中的信息检索、计算分析和逻辑组织能力。
来自: [Progressive Multimodal Reasoning via Active Retrieval, 第1页, Progressive Multimodal Reasoning via Active Retrieval_chunk_000]
来自: [Agentic Reasoning: A Streamlined Framework for Enhancing LLM Reasoning with Agentic Tools, 第2页, Agentic Reasoning: A Streamlined Framework for Enhancing LLM Reasoning with Agentic Tools_chunk_003]</t>
  </si>
  <si>
    <t>MAIN‑RAG 采用无需训练的多智能体协同过滤方法，由多个 LLM 代理对检索文档进行评分与筛选，并通过自适应阈值动态剔除噪声，从而提升生成所用文档的质量与可靠性。  
RAG‑Critic 则构建了基于批评模型引导的代理工作流：先通过数据驱动的错误挖掘建立分层错误体系，再训练错误批评模型以自动提供细粒度错误反馈，最后依据反馈定制执行方案，实现错误驱动的纠正，以此增强 RAG 系统的可靠性。
来自: [MAIN-RAG: Multi-Agent Filtering Retrieval-Augmented Generation, 第1页, MAIN-RAG: Multi-Agent Filtering Retrieval-Augmented Generation_chunk_004]  
来自: [RAG-Critic: Leveraging Automated Critic-Guided Agentic Workflow for Retrieval Augmented Generation, 第9页, RAG-Critic: Leveraging Automated Critic-Guided Agentic Workflow for Retrieval Augmented Generation_chunk_020]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</si>
</sst>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2"/>
      <charset val="161"/>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3" workbookViewId="0">
      <selection activeCell="F45" sqref="F45"/>
    </sheetView>
  </sheetViews>
  <sheetFormatPr defaultRowHeight="14" x14ac:dyDescent="0.25"/>
  <cols>
    <col min="1" max="1" width="18.1796875" style="2" customWidth="1"/>
    <col min="2" max="2" width="13.1796875" style="2" customWidth="1"/>
    <col min="3" max="4" width="18.17968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308" x14ac:dyDescent="0.25">
      <c r="A2" s="2" t="s">
        <v>15</v>
      </c>
      <c r="B2" s="2" t="s">
        <v>16</v>
      </c>
      <c r="C2" s="2" t="s">
        <v>17</v>
      </c>
      <c r="D2" s="2" t="s">
        <v>120</v>
      </c>
      <c r="E2" s="2">
        <v>1</v>
      </c>
      <c r="F2" s="2">
        <v>1</v>
      </c>
      <c r="G2" s="2">
        <v>1</v>
      </c>
      <c r="H2" s="2">
        <v>1</v>
      </c>
      <c r="I2" s="4">
        <v>1</v>
      </c>
      <c r="J2" s="2">
        <v>1</v>
      </c>
      <c r="K2" s="2" t="b">
        <v>0</v>
      </c>
      <c r="L2" s="2">
        <v>3</v>
      </c>
      <c r="M2" s="2">
        <v>0</v>
      </c>
      <c r="N2" s="2">
        <v>0</v>
      </c>
    </row>
    <row r="3" spans="1:15" ht="112" x14ac:dyDescent="0.25">
      <c r="A3" s="2" t="s">
        <v>18</v>
      </c>
      <c r="B3" s="2" t="s">
        <v>16</v>
      </c>
      <c r="C3" s="2" t="s">
        <v>19</v>
      </c>
      <c r="D3" s="2" t="s">
        <v>121</v>
      </c>
      <c r="E3" s="2">
        <v>0</v>
      </c>
      <c r="F3" s="2">
        <v>0</v>
      </c>
      <c r="G3" s="2">
        <v>0</v>
      </c>
      <c r="H3" s="2">
        <v>0</v>
      </c>
      <c r="I3" s="4">
        <v>1</v>
      </c>
      <c r="J3" s="2">
        <v>1</v>
      </c>
      <c r="K3" s="2" t="b">
        <v>0</v>
      </c>
      <c r="L3" s="2">
        <v>1</v>
      </c>
      <c r="M3" s="2">
        <v>0</v>
      </c>
      <c r="N3" s="2">
        <v>0</v>
      </c>
    </row>
    <row r="4" spans="1:15" ht="154" x14ac:dyDescent="0.25">
      <c r="A4" s="2" t="s">
        <v>20</v>
      </c>
      <c r="B4" s="2" t="s">
        <v>16</v>
      </c>
      <c r="C4" s="2" t="s">
        <v>21</v>
      </c>
      <c r="D4" s="2" t="s">
        <v>122</v>
      </c>
      <c r="E4" s="2">
        <v>1</v>
      </c>
      <c r="F4" s="2">
        <v>1</v>
      </c>
      <c r="G4" s="2">
        <v>1</v>
      </c>
      <c r="H4" s="2">
        <v>1</v>
      </c>
      <c r="I4" s="4">
        <v>1</v>
      </c>
      <c r="J4" s="2">
        <v>1</v>
      </c>
      <c r="K4" s="2" t="b">
        <v>0</v>
      </c>
      <c r="L4" s="2">
        <v>1</v>
      </c>
      <c r="M4" s="2">
        <v>0</v>
      </c>
      <c r="N4" s="2">
        <v>0</v>
      </c>
    </row>
    <row r="5" spans="1:15" ht="238" x14ac:dyDescent="0.25">
      <c r="A5" s="2" t="s">
        <v>22</v>
      </c>
      <c r="B5" s="2" t="s">
        <v>16</v>
      </c>
      <c r="C5" s="2" t="s">
        <v>23</v>
      </c>
      <c r="D5" s="2" t="s">
        <v>123</v>
      </c>
      <c r="E5" s="2">
        <v>1</v>
      </c>
      <c r="F5" s="2">
        <v>1</v>
      </c>
      <c r="G5" s="2">
        <v>1</v>
      </c>
      <c r="H5" s="2">
        <v>1</v>
      </c>
      <c r="I5" s="4">
        <v>1</v>
      </c>
      <c r="J5" s="2">
        <v>0.8</v>
      </c>
      <c r="K5" s="2" t="b">
        <v>0</v>
      </c>
      <c r="L5" s="2">
        <v>2</v>
      </c>
      <c r="M5" s="2">
        <v>0</v>
      </c>
      <c r="N5" s="2">
        <v>1</v>
      </c>
    </row>
    <row r="6" spans="1:15" ht="294" x14ac:dyDescent="0.25">
      <c r="A6" s="2" t="s">
        <v>24</v>
      </c>
      <c r="B6" s="2" t="s">
        <v>16</v>
      </c>
      <c r="C6" s="2" t="s">
        <v>25</v>
      </c>
      <c r="D6" s="2" t="s">
        <v>124</v>
      </c>
      <c r="E6" s="2">
        <v>1</v>
      </c>
      <c r="F6" s="2">
        <v>1</v>
      </c>
      <c r="G6" s="2">
        <v>1</v>
      </c>
      <c r="H6" s="2">
        <v>1</v>
      </c>
      <c r="I6" s="4">
        <v>1</v>
      </c>
      <c r="J6" s="2">
        <v>0.85699999999999998</v>
      </c>
      <c r="K6" s="2" t="b">
        <v>0</v>
      </c>
      <c r="L6" s="2">
        <v>3</v>
      </c>
      <c r="M6" s="2">
        <v>0</v>
      </c>
      <c r="N6" s="2">
        <v>1</v>
      </c>
    </row>
    <row r="7" spans="1:15" ht="280" x14ac:dyDescent="0.25">
      <c r="A7" s="2" t="s">
        <v>26</v>
      </c>
      <c r="B7" s="2" t="s">
        <v>16</v>
      </c>
      <c r="C7" s="2" t="s">
        <v>27</v>
      </c>
      <c r="D7" s="2" t="s">
        <v>126</v>
      </c>
      <c r="E7" s="2">
        <v>1</v>
      </c>
      <c r="F7" s="2">
        <v>1</v>
      </c>
      <c r="G7" s="2">
        <v>1</v>
      </c>
      <c r="H7" s="2">
        <v>1</v>
      </c>
      <c r="I7" s="4">
        <v>1</v>
      </c>
      <c r="J7" s="2">
        <v>0.66700000000000004</v>
      </c>
      <c r="K7" s="2" t="b">
        <v>0</v>
      </c>
      <c r="L7" s="2">
        <v>1</v>
      </c>
      <c r="M7" s="2">
        <v>0</v>
      </c>
      <c r="N7" s="2">
        <v>1</v>
      </c>
    </row>
    <row r="8" spans="1:15" ht="196" x14ac:dyDescent="0.25">
      <c r="A8" s="2" t="s">
        <v>28</v>
      </c>
      <c r="B8" s="2" t="s">
        <v>16</v>
      </c>
      <c r="C8" s="2" t="s">
        <v>29</v>
      </c>
      <c r="D8" s="2" t="s">
        <v>127</v>
      </c>
      <c r="E8" s="2">
        <v>0</v>
      </c>
      <c r="F8" s="2">
        <v>1</v>
      </c>
      <c r="G8" s="2">
        <v>1</v>
      </c>
      <c r="H8" s="2">
        <v>0.5</v>
      </c>
      <c r="I8" s="4">
        <v>1</v>
      </c>
      <c r="J8" s="2">
        <v>1</v>
      </c>
      <c r="K8" s="2" t="b">
        <v>0</v>
      </c>
      <c r="L8" s="2">
        <v>1</v>
      </c>
      <c r="M8" s="2">
        <v>0</v>
      </c>
      <c r="N8" s="2">
        <v>0</v>
      </c>
    </row>
    <row r="9" spans="1:15" ht="409.5" x14ac:dyDescent="0.25">
      <c r="A9" s="2" t="s">
        <v>30</v>
      </c>
      <c r="B9" s="2" t="s">
        <v>16</v>
      </c>
      <c r="C9" s="2" t="s">
        <v>31</v>
      </c>
      <c r="D9" s="2" t="s">
        <v>130</v>
      </c>
      <c r="E9" s="2">
        <v>1</v>
      </c>
      <c r="F9" s="2">
        <v>1</v>
      </c>
      <c r="G9" s="2">
        <v>1</v>
      </c>
      <c r="H9" s="2">
        <v>1</v>
      </c>
      <c r="I9" s="4">
        <v>1</v>
      </c>
      <c r="J9" s="2">
        <v>1</v>
      </c>
      <c r="K9" s="2" t="b">
        <v>0</v>
      </c>
      <c r="L9" s="2">
        <v>4</v>
      </c>
      <c r="M9" s="2">
        <v>0</v>
      </c>
      <c r="N9" s="2">
        <v>0</v>
      </c>
    </row>
    <row r="10" spans="1:15" ht="294" x14ac:dyDescent="0.25">
      <c r="A10" s="2" t="s">
        <v>32</v>
      </c>
      <c r="B10" s="2" t="s">
        <v>16</v>
      </c>
      <c r="C10" s="2" t="s">
        <v>33</v>
      </c>
      <c r="D10" s="2" t="s">
        <v>131</v>
      </c>
      <c r="E10" s="2">
        <v>1</v>
      </c>
      <c r="F10" s="2">
        <v>1</v>
      </c>
      <c r="G10" s="2">
        <v>1</v>
      </c>
      <c r="H10" s="2">
        <v>1</v>
      </c>
      <c r="I10" s="4">
        <v>1</v>
      </c>
      <c r="J10" s="2">
        <v>1</v>
      </c>
      <c r="K10" s="2" t="b">
        <v>0</v>
      </c>
      <c r="L10" s="2">
        <v>3</v>
      </c>
      <c r="M10" s="2">
        <v>0</v>
      </c>
      <c r="N10" s="2">
        <v>0</v>
      </c>
    </row>
    <row r="11" spans="1:15" ht="294" x14ac:dyDescent="0.25">
      <c r="A11" s="2" t="s">
        <v>34</v>
      </c>
      <c r="B11" s="2" t="s">
        <v>16</v>
      </c>
      <c r="C11" s="2" t="s">
        <v>35</v>
      </c>
      <c r="D11" s="2" t="s">
        <v>133</v>
      </c>
      <c r="E11" s="2">
        <v>1</v>
      </c>
      <c r="F11" s="2">
        <v>1</v>
      </c>
      <c r="G11" s="2">
        <v>1</v>
      </c>
      <c r="H11" s="2">
        <v>1</v>
      </c>
      <c r="I11" s="4">
        <v>1</v>
      </c>
      <c r="J11" s="2">
        <v>0.85699999999999998</v>
      </c>
      <c r="K11" s="2" t="b">
        <v>0</v>
      </c>
      <c r="L11" s="2">
        <v>3</v>
      </c>
      <c r="M11" s="2">
        <v>0</v>
      </c>
      <c r="N11" s="2">
        <v>1</v>
      </c>
    </row>
    <row r="12" spans="1:15" ht="280" x14ac:dyDescent="0.25">
      <c r="A12" s="2" t="s">
        <v>36</v>
      </c>
      <c r="B12" s="2" t="s">
        <v>16</v>
      </c>
      <c r="C12" s="2" t="s">
        <v>37</v>
      </c>
      <c r="D12" s="2" t="s">
        <v>135</v>
      </c>
      <c r="E12" s="2">
        <v>1</v>
      </c>
      <c r="F12" s="2">
        <v>1</v>
      </c>
      <c r="G12" s="2">
        <v>1</v>
      </c>
      <c r="H12" s="2">
        <v>1</v>
      </c>
      <c r="I12" s="4">
        <v>1</v>
      </c>
      <c r="J12" s="2">
        <v>1</v>
      </c>
      <c r="K12" s="2" t="b">
        <v>0</v>
      </c>
      <c r="L12" s="2">
        <v>2</v>
      </c>
      <c r="M12" s="2">
        <v>0</v>
      </c>
      <c r="N12" s="2">
        <v>0</v>
      </c>
    </row>
    <row r="13" spans="1:15" ht="409.5" x14ac:dyDescent="0.25">
      <c r="A13" s="2" t="s">
        <v>38</v>
      </c>
      <c r="B13" s="2" t="s">
        <v>16</v>
      </c>
      <c r="C13" s="2" t="s">
        <v>39</v>
      </c>
      <c r="D13" s="2" t="s">
        <v>136</v>
      </c>
      <c r="E13" s="2">
        <v>1</v>
      </c>
      <c r="F13" s="2">
        <v>1</v>
      </c>
      <c r="G13" s="2">
        <v>1</v>
      </c>
      <c r="H13" s="2">
        <v>1</v>
      </c>
      <c r="I13" s="4">
        <v>1</v>
      </c>
      <c r="J13" s="2">
        <v>1</v>
      </c>
      <c r="K13" s="2" t="b">
        <v>0</v>
      </c>
      <c r="L13" s="2">
        <v>3</v>
      </c>
      <c r="M13" s="2">
        <v>0</v>
      </c>
      <c r="N13" s="2">
        <v>0</v>
      </c>
    </row>
    <row r="14" spans="1:15" ht="294" x14ac:dyDescent="0.25">
      <c r="A14" s="2" t="s">
        <v>40</v>
      </c>
      <c r="B14" s="2" t="s">
        <v>41</v>
      </c>
      <c r="C14" s="2" t="s">
        <v>42</v>
      </c>
      <c r="D14" s="2" t="s">
        <v>137</v>
      </c>
      <c r="E14" s="2">
        <v>1</v>
      </c>
      <c r="F14" s="2">
        <v>1</v>
      </c>
      <c r="G14" s="2">
        <v>1</v>
      </c>
      <c r="H14" s="2">
        <v>1</v>
      </c>
      <c r="I14" s="4">
        <v>1</v>
      </c>
      <c r="J14" s="2">
        <v>1</v>
      </c>
      <c r="K14" s="2" t="b">
        <v>0</v>
      </c>
      <c r="L14" s="2">
        <v>1</v>
      </c>
      <c r="M14" s="2">
        <v>0</v>
      </c>
      <c r="N14" s="2">
        <v>0</v>
      </c>
    </row>
    <row r="15" spans="1:15" ht="238" x14ac:dyDescent="0.25">
      <c r="A15" s="2" t="s">
        <v>43</v>
      </c>
      <c r="B15" s="2" t="s">
        <v>41</v>
      </c>
      <c r="C15" s="2" t="s">
        <v>44</v>
      </c>
      <c r="D15" s="2" t="s">
        <v>132</v>
      </c>
      <c r="E15" s="2">
        <v>1</v>
      </c>
      <c r="F15" s="2">
        <v>1</v>
      </c>
      <c r="G15" s="2">
        <v>1</v>
      </c>
      <c r="H15" s="2">
        <v>1</v>
      </c>
      <c r="I15" s="4">
        <v>1</v>
      </c>
      <c r="J15" s="2">
        <v>1</v>
      </c>
      <c r="K15" s="2" t="b">
        <v>0</v>
      </c>
      <c r="L15" s="2">
        <v>3</v>
      </c>
      <c r="M15" s="2">
        <v>0</v>
      </c>
      <c r="N15" s="2">
        <v>0</v>
      </c>
    </row>
    <row r="16" spans="1:15" ht="409.5" x14ac:dyDescent="0.25">
      <c r="A16" s="2" t="s">
        <v>45</v>
      </c>
      <c r="B16" s="2" t="s">
        <v>41</v>
      </c>
      <c r="C16" s="2" t="s">
        <v>46</v>
      </c>
      <c r="D16" s="2" t="s">
        <v>138</v>
      </c>
      <c r="E16" s="2">
        <v>1</v>
      </c>
      <c r="F16" s="2">
        <v>1</v>
      </c>
      <c r="G16" s="2">
        <v>1</v>
      </c>
      <c r="H16" s="2">
        <v>1</v>
      </c>
      <c r="I16" s="4">
        <v>1</v>
      </c>
      <c r="J16" s="2">
        <v>1</v>
      </c>
      <c r="K16" s="2" t="b">
        <v>0</v>
      </c>
      <c r="L16" s="2">
        <v>3</v>
      </c>
      <c r="M16" s="2">
        <v>0</v>
      </c>
      <c r="N16" s="2">
        <v>0</v>
      </c>
    </row>
    <row r="17" spans="1:14" ht="364" x14ac:dyDescent="0.25">
      <c r="A17" s="2" t="s">
        <v>47</v>
      </c>
      <c r="B17" s="2" t="s">
        <v>41</v>
      </c>
      <c r="C17" s="2" t="s">
        <v>48</v>
      </c>
      <c r="D17" s="2" t="s">
        <v>139</v>
      </c>
      <c r="E17" s="2">
        <v>1</v>
      </c>
      <c r="F17" s="2">
        <v>1</v>
      </c>
      <c r="G17" s="2">
        <v>1</v>
      </c>
      <c r="H17" s="2">
        <v>1</v>
      </c>
      <c r="I17" s="4">
        <v>0.5</v>
      </c>
      <c r="J17" s="2">
        <v>0.66700000000000004</v>
      </c>
      <c r="K17" s="2" t="b">
        <v>0</v>
      </c>
      <c r="L17" s="2">
        <v>1</v>
      </c>
      <c r="M17" s="2">
        <v>0</v>
      </c>
      <c r="N17" s="2">
        <v>1</v>
      </c>
    </row>
    <row r="18" spans="1:14" ht="409.5" x14ac:dyDescent="0.25">
      <c r="A18" s="2" t="s">
        <v>49</v>
      </c>
      <c r="B18" s="2" t="s">
        <v>41</v>
      </c>
      <c r="C18" s="2" t="s">
        <v>50</v>
      </c>
      <c r="D18" s="2" t="s">
        <v>140</v>
      </c>
      <c r="E18" s="2">
        <v>1</v>
      </c>
      <c r="F18" s="2">
        <v>1</v>
      </c>
      <c r="G18" s="2">
        <v>1</v>
      </c>
      <c r="H18" s="2">
        <v>1</v>
      </c>
      <c r="I18" s="4">
        <v>0.66700000000000004</v>
      </c>
      <c r="J18" s="2">
        <v>1</v>
      </c>
      <c r="K18" s="2" t="b">
        <v>0</v>
      </c>
      <c r="L18" s="2">
        <v>4</v>
      </c>
      <c r="M18" s="2">
        <v>0</v>
      </c>
      <c r="N18" s="2">
        <v>0</v>
      </c>
    </row>
    <row r="19" spans="1:14" ht="409.5" x14ac:dyDescent="0.25">
      <c r="A19" s="2" t="s">
        <v>51</v>
      </c>
      <c r="B19" s="2" t="s">
        <v>41</v>
      </c>
      <c r="C19" s="2" t="s">
        <v>52</v>
      </c>
      <c r="D19" s="2" t="s">
        <v>141</v>
      </c>
      <c r="E19" s="2">
        <v>1</v>
      </c>
      <c r="F19" s="2">
        <v>1</v>
      </c>
      <c r="G19" s="2">
        <v>1</v>
      </c>
      <c r="H19" s="2">
        <v>1</v>
      </c>
      <c r="I19" s="4">
        <v>1</v>
      </c>
      <c r="J19" s="2">
        <v>1</v>
      </c>
      <c r="K19" s="2" t="b">
        <v>0</v>
      </c>
      <c r="L19" s="2">
        <v>3</v>
      </c>
      <c r="M19" s="2">
        <v>0</v>
      </c>
      <c r="N19" s="2">
        <v>0</v>
      </c>
    </row>
    <row r="20" spans="1:14" ht="169" x14ac:dyDescent="0.25">
      <c r="A20" s="2" t="s">
        <v>53</v>
      </c>
      <c r="B20" s="2" t="s">
        <v>41</v>
      </c>
      <c r="C20" s="2" t="s">
        <v>54</v>
      </c>
      <c r="D20" s="5" t="s">
        <v>142</v>
      </c>
      <c r="E20" s="2">
        <v>1</v>
      </c>
      <c r="F20" s="2">
        <v>1</v>
      </c>
      <c r="G20" s="2">
        <v>1</v>
      </c>
      <c r="H20" s="2">
        <v>1</v>
      </c>
      <c r="I20" s="4">
        <v>1</v>
      </c>
      <c r="J20" s="2">
        <v>1</v>
      </c>
      <c r="K20" s="2" t="b">
        <v>0</v>
      </c>
      <c r="L20" s="2">
        <v>2</v>
      </c>
      <c r="M20" s="2">
        <v>0</v>
      </c>
      <c r="N20" s="2">
        <v>0</v>
      </c>
    </row>
    <row r="21" spans="1:14" ht="364" x14ac:dyDescent="0.25">
      <c r="A21" s="2" t="s">
        <v>55</v>
      </c>
      <c r="B21" s="2" t="s">
        <v>41</v>
      </c>
      <c r="C21" s="2" t="s">
        <v>56</v>
      </c>
      <c r="D21" s="2" t="s">
        <v>143</v>
      </c>
      <c r="E21" s="2">
        <v>1</v>
      </c>
      <c r="F21" s="2">
        <v>1</v>
      </c>
      <c r="G21" s="2">
        <v>1</v>
      </c>
      <c r="H21" s="2">
        <v>1</v>
      </c>
      <c r="I21" s="4">
        <v>0.5</v>
      </c>
      <c r="J21" s="2">
        <v>0.5</v>
      </c>
      <c r="K21" s="2" t="b">
        <v>0</v>
      </c>
      <c r="L21" s="2">
        <v>1</v>
      </c>
      <c r="M21" s="2">
        <v>2</v>
      </c>
      <c r="N21" s="2">
        <v>0</v>
      </c>
    </row>
    <row r="22" spans="1:14" ht="409.5" x14ac:dyDescent="0.25">
      <c r="A22" s="2" t="s">
        <v>57</v>
      </c>
      <c r="B22" s="2" t="s">
        <v>41</v>
      </c>
      <c r="C22" s="2" t="s">
        <v>58</v>
      </c>
      <c r="D22" s="2" t="s">
        <v>144</v>
      </c>
      <c r="E22" s="2">
        <v>1</v>
      </c>
      <c r="F22" s="2">
        <v>1</v>
      </c>
      <c r="G22" s="2">
        <v>1</v>
      </c>
      <c r="H22" s="2">
        <v>1</v>
      </c>
      <c r="I22" s="4">
        <v>1</v>
      </c>
      <c r="J22" s="2">
        <v>1</v>
      </c>
      <c r="K22" s="2" t="b">
        <v>0</v>
      </c>
      <c r="L22" s="2">
        <v>3</v>
      </c>
      <c r="M22" s="2">
        <v>0</v>
      </c>
      <c r="N22" s="2">
        <v>0</v>
      </c>
    </row>
    <row r="23" spans="1:14" ht="364" x14ac:dyDescent="0.25">
      <c r="A23" s="2" t="s">
        <v>59</v>
      </c>
      <c r="B23" s="2" t="s">
        <v>41</v>
      </c>
      <c r="C23" s="2" t="s">
        <v>60</v>
      </c>
      <c r="D23" s="2" t="s">
        <v>145</v>
      </c>
      <c r="E23" s="2">
        <v>1</v>
      </c>
      <c r="F23" s="2">
        <v>1</v>
      </c>
      <c r="G23" s="2">
        <v>1</v>
      </c>
      <c r="H23" s="2">
        <v>1</v>
      </c>
      <c r="I23" s="4">
        <v>0.5</v>
      </c>
      <c r="J23" s="2">
        <v>1</v>
      </c>
      <c r="K23" s="2" t="b">
        <v>0</v>
      </c>
      <c r="L23" s="2">
        <v>2</v>
      </c>
      <c r="M23" s="2">
        <v>0</v>
      </c>
      <c r="N23" s="2">
        <v>0</v>
      </c>
    </row>
    <row r="24" spans="1:14" ht="238" x14ac:dyDescent="0.25">
      <c r="A24" s="2" t="s">
        <v>61</v>
      </c>
      <c r="B24" s="2" t="s">
        <v>41</v>
      </c>
      <c r="C24" s="2" t="s">
        <v>62</v>
      </c>
      <c r="D24" s="2" t="s">
        <v>147</v>
      </c>
      <c r="E24" s="2">
        <v>1</v>
      </c>
      <c r="F24" s="2">
        <v>1</v>
      </c>
      <c r="G24" s="2">
        <v>1</v>
      </c>
      <c r="H24" s="2">
        <v>1</v>
      </c>
      <c r="I24" s="4">
        <v>1</v>
      </c>
      <c r="J24" s="2">
        <v>0.66700000000000004</v>
      </c>
      <c r="K24" s="2" t="b">
        <v>0</v>
      </c>
      <c r="L24" s="2">
        <v>1</v>
      </c>
      <c r="M24" s="2">
        <v>0</v>
      </c>
      <c r="N24" s="2">
        <v>1</v>
      </c>
    </row>
    <row r="25" spans="1:14" ht="210" x14ac:dyDescent="0.25">
      <c r="A25" s="2" t="s">
        <v>63</v>
      </c>
      <c r="B25" s="2" t="s">
        <v>64</v>
      </c>
      <c r="C25" s="2" t="s">
        <v>65</v>
      </c>
      <c r="D25" s="2" t="s">
        <v>149</v>
      </c>
      <c r="E25" s="2">
        <v>1</v>
      </c>
      <c r="F25" s="2">
        <v>1</v>
      </c>
      <c r="G25" s="2">
        <v>1</v>
      </c>
      <c r="H25" s="2">
        <v>1</v>
      </c>
      <c r="I25" s="4">
        <v>1</v>
      </c>
      <c r="J25" s="2">
        <v>1</v>
      </c>
      <c r="K25" s="2" t="b">
        <v>0</v>
      </c>
      <c r="L25" s="2">
        <v>2</v>
      </c>
      <c r="M25" s="2">
        <v>0</v>
      </c>
      <c r="N25" s="2">
        <v>0</v>
      </c>
    </row>
    <row r="26" spans="1:14" ht="196" x14ac:dyDescent="0.25">
      <c r="A26" s="2" t="s">
        <v>66</v>
      </c>
      <c r="B26" s="2" t="s">
        <v>64</v>
      </c>
      <c r="C26" s="2" t="s">
        <v>67</v>
      </c>
      <c r="D26" s="2" t="s">
        <v>150</v>
      </c>
      <c r="E26" s="2">
        <v>1</v>
      </c>
      <c r="F26" s="2">
        <v>1</v>
      </c>
      <c r="G26" s="2">
        <v>1</v>
      </c>
      <c r="H26" s="2">
        <v>1</v>
      </c>
      <c r="I26" s="4">
        <v>1</v>
      </c>
      <c r="J26" s="2">
        <v>1</v>
      </c>
      <c r="K26" s="2" t="b">
        <v>0</v>
      </c>
      <c r="L26" s="2">
        <v>1</v>
      </c>
      <c r="M26" s="2">
        <v>0</v>
      </c>
      <c r="N26" s="2">
        <v>0</v>
      </c>
    </row>
    <row r="27" spans="1:14" ht="406" x14ac:dyDescent="0.25">
      <c r="A27" s="2" t="s">
        <v>68</v>
      </c>
      <c r="B27" s="2" t="s">
        <v>64</v>
      </c>
      <c r="C27" s="2" t="s">
        <v>69</v>
      </c>
      <c r="D27" s="2" t="s">
        <v>152</v>
      </c>
      <c r="E27" s="2">
        <v>1</v>
      </c>
      <c r="F27" s="2">
        <v>1</v>
      </c>
      <c r="G27" s="2">
        <v>1</v>
      </c>
      <c r="H27" s="2">
        <v>1</v>
      </c>
      <c r="I27" s="4">
        <v>1</v>
      </c>
      <c r="J27" s="2">
        <v>0.66700000000000004</v>
      </c>
      <c r="K27" s="2" t="b">
        <v>0</v>
      </c>
      <c r="L27" s="2">
        <v>1</v>
      </c>
      <c r="M27" s="2">
        <v>0</v>
      </c>
      <c r="N27" s="2">
        <v>1</v>
      </c>
    </row>
    <row r="28" spans="1:14" ht="168" x14ac:dyDescent="0.25">
      <c r="A28" s="2" t="s">
        <v>70</v>
      </c>
      <c r="B28" s="2" t="s">
        <v>64</v>
      </c>
      <c r="C28" s="2" t="s">
        <v>71</v>
      </c>
      <c r="D28" s="2" t="s">
        <v>148</v>
      </c>
      <c r="E28" s="2">
        <v>1</v>
      </c>
      <c r="F28" s="2">
        <v>1</v>
      </c>
      <c r="G28" s="2">
        <v>1</v>
      </c>
      <c r="H28" s="2">
        <v>1</v>
      </c>
      <c r="I28" s="4">
        <v>1</v>
      </c>
      <c r="J28" s="2">
        <v>1</v>
      </c>
      <c r="K28" s="2" t="b">
        <v>0</v>
      </c>
      <c r="L28" s="2">
        <v>1</v>
      </c>
      <c r="M28" s="2">
        <v>0</v>
      </c>
      <c r="N28" s="2">
        <v>0</v>
      </c>
    </row>
    <row r="29" spans="1:14" ht="126" x14ac:dyDescent="0.25">
      <c r="A29" s="2" t="s">
        <v>72</v>
      </c>
      <c r="B29" s="2" t="s">
        <v>64</v>
      </c>
      <c r="C29" s="2" t="s">
        <v>73</v>
      </c>
      <c r="D29" s="2" t="s">
        <v>134</v>
      </c>
      <c r="E29" s="2">
        <v>1</v>
      </c>
      <c r="F29" s="2">
        <v>1</v>
      </c>
      <c r="G29" s="2">
        <v>1</v>
      </c>
      <c r="H29" s="2">
        <v>1</v>
      </c>
      <c r="I29" s="4">
        <v>1</v>
      </c>
      <c r="J29" s="2">
        <v>1</v>
      </c>
      <c r="K29" s="2" t="b">
        <v>0</v>
      </c>
      <c r="L29" s="2">
        <v>1</v>
      </c>
      <c r="M29" s="2">
        <v>0</v>
      </c>
      <c r="N29" s="2">
        <v>0</v>
      </c>
    </row>
    <row r="30" spans="1:14" ht="196" x14ac:dyDescent="0.25">
      <c r="A30" s="2" t="s">
        <v>74</v>
      </c>
      <c r="B30" s="2" t="s">
        <v>64</v>
      </c>
      <c r="C30" s="2" t="s">
        <v>75</v>
      </c>
      <c r="D30" s="2" t="s">
        <v>153</v>
      </c>
      <c r="E30" s="2">
        <v>1</v>
      </c>
      <c r="F30" s="2">
        <v>1</v>
      </c>
      <c r="G30" s="2">
        <v>1</v>
      </c>
      <c r="H30" s="2">
        <v>1</v>
      </c>
      <c r="I30" s="4">
        <v>1</v>
      </c>
      <c r="J30" s="2">
        <v>1</v>
      </c>
      <c r="K30" s="2" t="b">
        <v>0</v>
      </c>
      <c r="L30" s="2">
        <v>3</v>
      </c>
      <c r="M30" s="2">
        <v>0</v>
      </c>
      <c r="N30" s="2">
        <v>0</v>
      </c>
    </row>
    <row r="31" spans="1:14" ht="280" x14ac:dyDescent="0.25">
      <c r="A31" s="2" t="s">
        <v>76</v>
      </c>
      <c r="B31" s="2" t="s">
        <v>64</v>
      </c>
      <c r="C31" s="2" t="s">
        <v>77</v>
      </c>
      <c r="D31" s="2" t="s">
        <v>128</v>
      </c>
      <c r="E31" s="2">
        <v>1</v>
      </c>
      <c r="F31" s="2">
        <v>1</v>
      </c>
      <c r="G31" s="2">
        <v>1</v>
      </c>
      <c r="H31" s="2">
        <v>1</v>
      </c>
      <c r="I31" s="4">
        <v>1</v>
      </c>
      <c r="J31" s="2">
        <v>1</v>
      </c>
      <c r="K31" s="2" t="b">
        <v>0</v>
      </c>
      <c r="L31" s="2">
        <v>3</v>
      </c>
      <c r="M31" s="2">
        <v>0</v>
      </c>
      <c r="N31" s="2">
        <v>0</v>
      </c>
    </row>
    <row r="32" spans="1:14" ht="238" x14ac:dyDescent="0.25">
      <c r="A32" s="2" t="s">
        <v>78</v>
      </c>
      <c r="B32" s="2" t="s">
        <v>64</v>
      </c>
      <c r="C32" s="2" t="s">
        <v>79</v>
      </c>
      <c r="D32" s="2" t="s">
        <v>129</v>
      </c>
      <c r="E32" s="2">
        <v>1</v>
      </c>
      <c r="F32" s="2">
        <v>1</v>
      </c>
      <c r="G32" s="2">
        <v>1</v>
      </c>
      <c r="H32" s="2">
        <v>1</v>
      </c>
      <c r="I32" s="4">
        <v>1</v>
      </c>
      <c r="J32" s="2">
        <v>0.66700000000000004</v>
      </c>
      <c r="K32" s="2" t="b">
        <v>0</v>
      </c>
      <c r="L32" s="2">
        <v>1</v>
      </c>
      <c r="M32" s="2">
        <v>0</v>
      </c>
      <c r="N32" s="2">
        <v>1</v>
      </c>
    </row>
    <row r="33" spans="1:15" ht="392" x14ac:dyDescent="0.25">
      <c r="A33" s="2" t="s">
        <v>80</v>
      </c>
      <c r="B33" s="2" t="s">
        <v>64</v>
      </c>
      <c r="C33" s="2" t="s">
        <v>81</v>
      </c>
      <c r="D33" s="2" t="s">
        <v>155</v>
      </c>
      <c r="E33" s="2">
        <v>1</v>
      </c>
      <c r="F33" s="2">
        <v>1</v>
      </c>
      <c r="G33" s="2">
        <v>1</v>
      </c>
      <c r="H33" s="2">
        <v>1</v>
      </c>
      <c r="I33" s="4">
        <v>1</v>
      </c>
      <c r="J33" s="2">
        <v>1</v>
      </c>
      <c r="K33" s="2" t="b">
        <v>0</v>
      </c>
      <c r="L33" s="2">
        <v>3</v>
      </c>
      <c r="M33" s="2">
        <v>0</v>
      </c>
      <c r="N33" s="2">
        <v>0</v>
      </c>
    </row>
    <row r="34" spans="1:15" ht="266" x14ac:dyDescent="0.25">
      <c r="A34" s="2" t="s">
        <v>82</v>
      </c>
      <c r="B34" s="2" t="s">
        <v>64</v>
      </c>
      <c r="C34" s="2" t="s">
        <v>83</v>
      </c>
      <c r="D34" s="2" t="s">
        <v>156</v>
      </c>
      <c r="E34" s="2">
        <v>1</v>
      </c>
      <c r="F34" s="2">
        <v>1</v>
      </c>
      <c r="G34" s="2">
        <v>1</v>
      </c>
      <c r="H34" s="2">
        <v>1</v>
      </c>
      <c r="I34" s="4">
        <v>1</v>
      </c>
      <c r="J34" s="2">
        <v>1</v>
      </c>
      <c r="K34" s="2" t="b">
        <v>0</v>
      </c>
      <c r="L34" s="2">
        <v>3</v>
      </c>
      <c r="M34" s="2">
        <v>0</v>
      </c>
      <c r="N34" s="2">
        <v>0</v>
      </c>
    </row>
    <row r="35" spans="1:15" ht="154" x14ac:dyDescent="0.25">
      <c r="A35" s="2" t="s">
        <v>84</v>
      </c>
      <c r="B35" s="2" t="s">
        <v>64</v>
      </c>
      <c r="C35" s="2" t="s">
        <v>85</v>
      </c>
      <c r="D35" s="2" t="s">
        <v>157</v>
      </c>
      <c r="E35" s="2">
        <v>1</v>
      </c>
      <c r="F35" s="2">
        <v>1</v>
      </c>
      <c r="G35" s="2">
        <v>1</v>
      </c>
      <c r="H35" s="2">
        <v>1</v>
      </c>
      <c r="I35" s="4">
        <v>1</v>
      </c>
      <c r="J35" s="2">
        <v>0.66700000000000004</v>
      </c>
      <c r="K35" s="2" t="b">
        <v>0</v>
      </c>
      <c r="L35" s="2">
        <v>1</v>
      </c>
      <c r="M35" s="2">
        <v>0</v>
      </c>
      <c r="N35" s="2">
        <v>1</v>
      </c>
    </row>
    <row r="36" spans="1:15" ht="409.5" x14ac:dyDescent="0.25">
      <c r="A36" s="2" t="s">
        <v>86</v>
      </c>
      <c r="B36" s="2" t="s">
        <v>87</v>
      </c>
      <c r="C36" s="2" t="s">
        <v>88</v>
      </c>
      <c r="D36" s="2" t="s">
        <v>151</v>
      </c>
      <c r="E36" s="2">
        <v>1</v>
      </c>
      <c r="F36" s="2">
        <v>1</v>
      </c>
      <c r="G36" s="2">
        <v>1</v>
      </c>
      <c r="H36" s="2">
        <v>1</v>
      </c>
      <c r="I36" s="4">
        <v>1</v>
      </c>
      <c r="J36" s="2">
        <v>1</v>
      </c>
      <c r="K36" s="2" t="b">
        <v>0</v>
      </c>
      <c r="L36" s="2">
        <v>2</v>
      </c>
      <c r="M36" s="2">
        <v>0</v>
      </c>
      <c r="N36" s="2">
        <v>0</v>
      </c>
    </row>
    <row r="37" spans="1:15" ht="409.5" x14ac:dyDescent="0.25">
      <c r="A37" s="2" t="s">
        <v>89</v>
      </c>
      <c r="B37" s="2" t="s">
        <v>87</v>
      </c>
      <c r="C37" s="2" t="s">
        <v>90</v>
      </c>
      <c r="D37" s="2" t="s">
        <v>158</v>
      </c>
      <c r="E37" s="2">
        <v>1</v>
      </c>
      <c r="F37" s="2">
        <v>1</v>
      </c>
      <c r="G37" s="2">
        <v>1</v>
      </c>
      <c r="H37" s="2">
        <v>1</v>
      </c>
      <c r="I37" s="4">
        <v>1</v>
      </c>
      <c r="J37" s="2">
        <v>1</v>
      </c>
      <c r="K37" s="2" t="b">
        <v>0</v>
      </c>
      <c r="L37" s="2">
        <v>2</v>
      </c>
      <c r="M37" s="2">
        <v>0</v>
      </c>
      <c r="N37" s="2">
        <v>0</v>
      </c>
    </row>
    <row r="38" spans="1:15" ht="409.5" x14ac:dyDescent="0.25">
      <c r="A38" s="2" t="s">
        <v>91</v>
      </c>
      <c r="B38" s="2" t="s">
        <v>87</v>
      </c>
      <c r="C38" s="2" t="s">
        <v>92</v>
      </c>
      <c r="D38" s="2" t="s">
        <v>159</v>
      </c>
      <c r="E38" s="2">
        <v>1</v>
      </c>
      <c r="F38" s="2">
        <v>1</v>
      </c>
      <c r="G38" s="2">
        <v>1</v>
      </c>
      <c r="H38" s="2">
        <v>1</v>
      </c>
      <c r="I38" s="4">
        <v>1</v>
      </c>
      <c r="J38" s="2">
        <v>0.85699999999999998</v>
      </c>
      <c r="K38" s="2" t="b">
        <v>0</v>
      </c>
      <c r="L38" s="2">
        <v>3</v>
      </c>
      <c r="M38" s="2">
        <v>0</v>
      </c>
      <c r="N38" s="2">
        <v>1</v>
      </c>
    </row>
    <row r="39" spans="1:15" ht="409.5" x14ac:dyDescent="0.25">
      <c r="A39" s="2" t="s">
        <v>93</v>
      </c>
      <c r="B39" s="2" t="s">
        <v>87</v>
      </c>
      <c r="C39" s="2" t="s">
        <v>94</v>
      </c>
      <c r="D39" s="2" t="s">
        <v>125</v>
      </c>
      <c r="E39" s="2">
        <v>1</v>
      </c>
      <c r="F39" s="2">
        <v>1</v>
      </c>
      <c r="G39" s="2">
        <v>1</v>
      </c>
      <c r="H39" s="2">
        <v>1</v>
      </c>
      <c r="I39" s="4">
        <v>0</v>
      </c>
      <c r="J39" s="2">
        <v>0.66700000000000004</v>
      </c>
      <c r="K39" s="2" t="b">
        <v>0</v>
      </c>
      <c r="L39" s="2">
        <v>1</v>
      </c>
      <c r="M39" s="2">
        <v>0</v>
      </c>
      <c r="N39" s="2">
        <v>1</v>
      </c>
    </row>
    <row r="40" spans="1:15" ht="409.5" x14ac:dyDescent="0.25">
      <c r="A40" s="2" t="s">
        <v>95</v>
      </c>
      <c r="B40" s="2" t="s">
        <v>87</v>
      </c>
      <c r="C40" s="2" t="s">
        <v>96</v>
      </c>
      <c r="D40" s="2" t="s">
        <v>154</v>
      </c>
      <c r="E40" s="2">
        <v>1</v>
      </c>
      <c r="F40" s="2">
        <v>1</v>
      </c>
      <c r="G40" s="2">
        <v>1</v>
      </c>
      <c r="H40" s="2">
        <v>1</v>
      </c>
      <c r="I40" s="4">
        <v>1</v>
      </c>
      <c r="J40" s="2">
        <v>0.5</v>
      </c>
      <c r="K40" s="2" t="b">
        <v>0</v>
      </c>
      <c r="L40" s="2">
        <v>2</v>
      </c>
      <c r="M40" s="2">
        <v>0</v>
      </c>
      <c r="N40" s="2">
        <v>4</v>
      </c>
    </row>
    <row r="41" spans="1:15" ht="409.5" x14ac:dyDescent="0.25">
      <c r="A41" s="2" t="s">
        <v>97</v>
      </c>
      <c r="B41" s="2" t="s">
        <v>87</v>
      </c>
      <c r="C41" s="2" t="s">
        <v>98</v>
      </c>
      <c r="D41" s="2" t="s">
        <v>160</v>
      </c>
      <c r="E41" s="2">
        <v>1</v>
      </c>
      <c r="F41" s="2">
        <v>1</v>
      </c>
      <c r="G41" s="2">
        <v>1</v>
      </c>
      <c r="H41" s="2">
        <v>1</v>
      </c>
      <c r="I41" s="4">
        <v>0.5</v>
      </c>
      <c r="J41" s="2">
        <v>0.8</v>
      </c>
      <c r="K41" s="2" t="b">
        <v>0</v>
      </c>
      <c r="L41" s="2">
        <v>2</v>
      </c>
      <c r="M41" s="2">
        <v>0</v>
      </c>
      <c r="N41" s="2">
        <v>1</v>
      </c>
    </row>
    <row r="42" spans="1:15" ht="409.5" x14ac:dyDescent="0.25">
      <c r="A42" s="2" t="s">
        <v>99</v>
      </c>
      <c r="B42" s="2" t="s">
        <v>87</v>
      </c>
      <c r="C42" s="2" t="s">
        <v>100</v>
      </c>
      <c r="D42" s="2" t="s">
        <v>161</v>
      </c>
      <c r="E42" s="2">
        <v>0</v>
      </c>
      <c r="F42" s="2">
        <v>0</v>
      </c>
      <c r="G42" s="2">
        <v>1</v>
      </c>
      <c r="H42" s="2">
        <v>0.2</v>
      </c>
      <c r="I42" s="4">
        <v>1</v>
      </c>
      <c r="J42" s="2">
        <v>0.66700000000000004</v>
      </c>
      <c r="K42" s="2" t="b">
        <v>0</v>
      </c>
      <c r="L42" s="2">
        <v>2</v>
      </c>
      <c r="M42" s="2">
        <v>0</v>
      </c>
      <c r="N42" s="2">
        <v>2</v>
      </c>
    </row>
    <row r="43" spans="1:15" ht="409.5" x14ac:dyDescent="0.25">
      <c r="A43" s="2" t="s">
        <v>101</v>
      </c>
      <c r="B43" s="2" t="s">
        <v>87</v>
      </c>
      <c r="C43" s="2" t="s">
        <v>102</v>
      </c>
      <c r="D43" s="2" t="s">
        <v>146</v>
      </c>
      <c r="E43" s="2">
        <v>1</v>
      </c>
      <c r="F43" s="2">
        <v>1</v>
      </c>
      <c r="G43" s="2">
        <v>1</v>
      </c>
      <c r="H43" s="2">
        <v>1</v>
      </c>
      <c r="I43" s="4">
        <v>0.66700000000000004</v>
      </c>
      <c r="J43" s="2">
        <v>0.66700000000000004</v>
      </c>
      <c r="K43" s="2" t="b">
        <v>0</v>
      </c>
      <c r="L43" s="2">
        <v>2</v>
      </c>
      <c r="M43" s="2">
        <v>1</v>
      </c>
      <c r="N43" s="2">
        <v>1</v>
      </c>
    </row>
    <row r="44" spans="1:15" ht="56" x14ac:dyDescent="0.25">
      <c r="A44" s="2" t="s">
        <v>103</v>
      </c>
      <c r="B44" s="2" t="s">
        <v>104</v>
      </c>
      <c r="C44" s="2" t="s">
        <v>105</v>
      </c>
      <c r="D44" s="2" t="s">
        <v>106</v>
      </c>
      <c r="J44" s="2">
        <v>1</v>
      </c>
      <c r="K44" s="2" t="b">
        <v>1</v>
      </c>
      <c r="L44" s="2">
        <v>1</v>
      </c>
      <c r="M44" s="2">
        <v>0</v>
      </c>
      <c r="N44" s="2">
        <v>0</v>
      </c>
      <c r="O44" s="2" t="b">
        <v>1</v>
      </c>
    </row>
    <row r="45" spans="1:15" ht="70" x14ac:dyDescent="0.25">
      <c r="A45" s="2" t="s">
        <v>107</v>
      </c>
      <c r="B45" s="2" t="s">
        <v>104</v>
      </c>
      <c r="C45" s="2" t="s">
        <v>105</v>
      </c>
      <c r="D45" s="2" t="s">
        <v>106</v>
      </c>
      <c r="J45" s="2">
        <v>1</v>
      </c>
      <c r="K45" s="2" t="b">
        <v>1</v>
      </c>
      <c r="L45" s="2">
        <v>1</v>
      </c>
      <c r="M45" s="2">
        <v>0</v>
      </c>
      <c r="N45" s="2">
        <v>0</v>
      </c>
      <c r="O45" s="2" t="b">
        <v>1</v>
      </c>
    </row>
    <row r="46" spans="1:15" ht="42" x14ac:dyDescent="0.25">
      <c r="A46" s="2" t="s">
        <v>108</v>
      </c>
      <c r="B46" s="2" t="s">
        <v>104</v>
      </c>
      <c r="C46" s="2" t="s">
        <v>105</v>
      </c>
      <c r="D46" s="2" t="s">
        <v>106</v>
      </c>
      <c r="J46" s="2">
        <v>1</v>
      </c>
      <c r="K46" s="2" t="b">
        <v>1</v>
      </c>
      <c r="L46" s="2">
        <v>1</v>
      </c>
      <c r="M46" s="2">
        <v>0</v>
      </c>
      <c r="N46" s="2">
        <v>0</v>
      </c>
      <c r="O46" s="2" t="b">
        <v>1</v>
      </c>
    </row>
    <row r="47" spans="1:15" ht="98" x14ac:dyDescent="0.25">
      <c r="A47" s="2" t="s">
        <v>109</v>
      </c>
      <c r="B47" s="2" t="s">
        <v>104</v>
      </c>
      <c r="C47" s="2" t="s">
        <v>105</v>
      </c>
      <c r="D47" s="2" t="s">
        <v>106</v>
      </c>
      <c r="J47" s="2">
        <v>1</v>
      </c>
      <c r="K47" s="2" t="b">
        <v>1</v>
      </c>
      <c r="L47" s="2">
        <v>1</v>
      </c>
      <c r="M47" s="2">
        <v>0</v>
      </c>
      <c r="N47" s="2">
        <v>0</v>
      </c>
      <c r="O47" s="2" t="b">
        <v>1</v>
      </c>
    </row>
    <row r="48" spans="1:15" ht="56" x14ac:dyDescent="0.25">
      <c r="A48" s="2" t="s">
        <v>110</v>
      </c>
      <c r="B48" s="2" t="s">
        <v>104</v>
      </c>
      <c r="C48" s="2" t="s">
        <v>105</v>
      </c>
      <c r="D48" s="2" t="s">
        <v>106</v>
      </c>
      <c r="J48" s="2">
        <v>1</v>
      </c>
      <c r="K48" s="2" t="b">
        <v>1</v>
      </c>
      <c r="L48" s="2">
        <v>1</v>
      </c>
      <c r="M48" s="2">
        <v>0</v>
      </c>
      <c r="N48" s="2">
        <v>0</v>
      </c>
      <c r="O48" s="2" t="b">
        <v>1</v>
      </c>
    </row>
    <row r="49" spans="1:15" ht="56" x14ac:dyDescent="0.25">
      <c r="A49" s="2" t="s">
        <v>111</v>
      </c>
      <c r="B49" s="2" t="s">
        <v>104</v>
      </c>
      <c r="C49" s="2" t="s">
        <v>105</v>
      </c>
      <c r="D49" s="2" t="s">
        <v>106</v>
      </c>
      <c r="J49" s="2">
        <v>1</v>
      </c>
      <c r="K49" s="2" t="b">
        <v>1</v>
      </c>
      <c r="L49" s="2">
        <v>1</v>
      </c>
      <c r="M49" s="2">
        <v>0</v>
      </c>
      <c r="N49" s="2">
        <v>0</v>
      </c>
      <c r="O49" s="2" t="b">
        <v>1</v>
      </c>
    </row>
    <row r="50" spans="1:15" ht="70" x14ac:dyDescent="0.25">
      <c r="A50" s="2" t="s">
        <v>112</v>
      </c>
      <c r="B50" s="2" t="s">
        <v>104</v>
      </c>
      <c r="C50" s="2" t="s">
        <v>105</v>
      </c>
      <c r="D50" s="2" t="s">
        <v>106</v>
      </c>
      <c r="J50" s="2">
        <v>1</v>
      </c>
      <c r="K50" s="2" t="b">
        <v>1</v>
      </c>
      <c r="L50" s="2">
        <v>1</v>
      </c>
      <c r="M50" s="2">
        <v>0</v>
      </c>
      <c r="N50" s="2">
        <v>0</v>
      </c>
      <c r="O50" s="2" t="b">
        <v>1</v>
      </c>
    </row>
    <row r="51" spans="1:15" ht="56" x14ac:dyDescent="0.25">
      <c r="A51" s="2" t="s">
        <v>113</v>
      </c>
      <c r="B51" s="2" t="s">
        <v>104</v>
      </c>
      <c r="C51" s="2" t="s">
        <v>105</v>
      </c>
      <c r="D51" s="2" t="s">
        <v>106</v>
      </c>
      <c r="J51" s="2">
        <v>1</v>
      </c>
      <c r="K51" s="2" t="b">
        <v>1</v>
      </c>
      <c r="L51" s="2">
        <v>1</v>
      </c>
      <c r="M51" s="2">
        <v>0</v>
      </c>
      <c r="N51" s="2">
        <v>0</v>
      </c>
      <c r="O51" s="2" t="b">
        <v>1</v>
      </c>
    </row>
    <row r="53" spans="1:15" x14ac:dyDescent="0.25">
      <c r="A53" s="2" t="s">
        <v>114</v>
      </c>
      <c r="E53" s="2">
        <f>AVERAGEIFS(E2:E51,K2:K51,FALSE)</f>
        <v>0.9285714285714286</v>
      </c>
      <c r="F53" s="2">
        <f>AVERAGEIFS(F2:F51,K2:K51,FALSE)</f>
        <v>0.95238095238095233</v>
      </c>
      <c r="G53" s="2">
        <f>AVERAGEIFS(G2:G51,K2:K51,FALSE)</f>
        <v>0.97619047619047616</v>
      </c>
      <c r="H53" s="2">
        <f>AVERAGEIFS(H2:H51,K2:K51,FALSE)</f>
        <v>0.94523809523809532</v>
      </c>
      <c r="I53" s="4">
        <f>AVERAGEIFS(I2:I51,K2:K51,FALSE)</f>
        <v>0.91271428571428581</v>
      </c>
      <c r="J53" s="2">
        <f>AVERAGE(J2:J51)</f>
        <v>0.90348000000000017</v>
      </c>
      <c r="L53" s="2">
        <f>AVERAGE(L2:L51)</f>
        <v>1.9</v>
      </c>
      <c r="M53" s="2">
        <f>AVERAGE(M2:M51)</f>
        <v>0.06</v>
      </c>
      <c r="N53" s="2">
        <f>AVERAGE(N2:N51)</f>
        <v>0.38</v>
      </c>
    </row>
    <row r="54" spans="1:15" x14ac:dyDescent="0.25">
      <c r="A54" s="2" t="s">
        <v>115</v>
      </c>
      <c r="B54" s="2" t="s">
        <v>16</v>
      </c>
      <c r="E54" s="2">
        <f>AVERAGEIFS(E2:E51,B2:B51,"定义类",K2:K51,FALSE)</f>
        <v>0.83333333333333337</v>
      </c>
      <c r="F54" s="2">
        <f>AVERAGEIFS(F2:F51,B2:B51,"定义类",K2:K51,FALSE)</f>
        <v>0.91666666666666663</v>
      </c>
      <c r="G54" s="2">
        <f>AVERAGEIFS(G2:G51,B2:B51,"定义类",K2:K51,FALSE)</f>
        <v>0.91666666666666663</v>
      </c>
      <c r="H54" s="2">
        <f>AVERAGEIFS(H2:H51,B2:B51,"定义类",K2:K51,FALSE)</f>
        <v>0.875</v>
      </c>
      <c r="I54" s="4">
        <f>AVERAGEIFS(I2:I51,B2:B51,"定义类",K2:K51,FALSE)</f>
        <v>1</v>
      </c>
      <c r="J54" s="2">
        <f>AVERAGEIF(B2:B51,"定义类",J2:J51)</f>
        <v>0.93174999999999997</v>
      </c>
      <c r="L54" s="2">
        <f>AVERAGEIF(B2:B51,"定义类",L2:L51)</f>
        <v>2.25</v>
      </c>
      <c r="M54" s="2">
        <f>AVERAGEIF(B2:B51,"定义类",M2:M51)</f>
        <v>0</v>
      </c>
      <c r="N54" s="2">
        <f>AVERAGEIF(B2:B51,"定义类",N2:N51)</f>
        <v>0.33333333333333331</v>
      </c>
    </row>
    <row r="55" spans="1:15" ht="28" x14ac:dyDescent="0.25">
      <c r="A55" s="2" t="s">
        <v>116</v>
      </c>
      <c r="B55" s="2" t="s">
        <v>41</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0.83336363636363631</v>
      </c>
      <c r="J55" s="2">
        <f>AVERAGEIF(B2:B51,"方法细节类",J2:J51)</f>
        <v>0.89400000000000002</v>
      </c>
      <c r="L55" s="2">
        <f>AVERAGEIF(B2:B51,"方法细节类",L2:L51)</f>
        <v>2.1818181818181817</v>
      </c>
      <c r="M55" s="2">
        <f>AVERAGEIF(B2:B51,"方法细节类",M2:M51)</f>
        <v>0.18181818181818182</v>
      </c>
      <c r="N55" s="2">
        <f>AVERAGEIF(B2:B51,"方法细节类",N2:N51)</f>
        <v>0.18181818181818182</v>
      </c>
    </row>
    <row r="56" spans="1:15" ht="28" x14ac:dyDescent="0.25">
      <c r="A56" s="2" t="s">
        <v>117</v>
      </c>
      <c r="B56" s="2" t="s">
        <v>64</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1</v>
      </c>
      <c r="J56" s="2">
        <f>AVERAGEIF(B2:B51,"实验结果类",J2:J51)</f>
        <v>0.90918181818181809</v>
      </c>
      <c r="L56" s="2">
        <f>AVERAGEIF(B2:B51,"实验结果类",L2:L51)</f>
        <v>1.8181818181818181</v>
      </c>
      <c r="M56" s="2">
        <f>AVERAGEIF(B2:B51,"实验结果类",M2:M51)</f>
        <v>0</v>
      </c>
      <c r="N56" s="2">
        <f>AVERAGEIF(B2:B51,"实验结果类",N2:N51)</f>
        <v>0.27272727272727271</v>
      </c>
    </row>
    <row r="57" spans="1:15" ht="28" x14ac:dyDescent="0.25">
      <c r="A57" s="2" t="s">
        <v>118</v>
      </c>
      <c r="B57" s="2" t="s">
        <v>87</v>
      </c>
      <c r="E57" s="2">
        <f>AVERAGEIFS(E2:E51,B2:B51,"跨论文比较类",K2:K51,FALSE)</f>
        <v>0.875</v>
      </c>
      <c r="F57" s="2">
        <f>AVERAGEIFS(F2:F51,B2:B51,"跨论文比较类",K2:K51,FALSE)</f>
        <v>0.875</v>
      </c>
      <c r="G57" s="2">
        <f>AVERAGEIFS(G2:G51,B2:B51,"跨论文比较类",K2:K51,FALSE)</f>
        <v>1</v>
      </c>
      <c r="H57" s="2">
        <f>AVERAGEIFS(H2:H51,B2:B51,"跨论文比较类",K2:K51,FALSE)</f>
        <v>0.9</v>
      </c>
      <c r="I57" s="4">
        <f>AVERAGEIFS(I2:I51,B2:B51,"跨论文比较类",K2:K51,FALSE)</f>
        <v>0.77087499999999998</v>
      </c>
      <c r="J57" s="2">
        <f>AVERAGEIF(B2:B51,"跨论文比较类",J2:J51)</f>
        <v>0.76974999999999993</v>
      </c>
      <c r="L57" s="2">
        <f>AVERAGEIF(B2:B51,"跨论文比较类",L2:L51)</f>
        <v>2</v>
      </c>
      <c r="M57" s="2">
        <f>AVERAGEIF(B2:B51,"跨论文比较类",M2:M51)</f>
        <v>0.125</v>
      </c>
      <c r="N57" s="2">
        <f>AVERAGEIF(B2:B51,"跨论文比较类",N2:N51)</f>
        <v>1.25</v>
      </c>
    </row>
    <row r="58" spans="1:15" ht="28" x14ac:dyDescent="0.25">
      <c r="A58" s="2" t="s">
        <v>119</v>
      </c>
      <c r="B58" s="2" t="s">
        <v>104</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2026-06-03T10:37:48Z</dcterms:created>
  <dcterms:modified xsi:type="dcterms:W3CDTF">2026-06-09T12:47:49Z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81e7dec7-a944-49ed-ab21-a1e6e98ddc03</vt:lpwstr>
  </property>
</Properties>
</file>