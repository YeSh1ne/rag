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7C786848-6F2C-4315-9757-88C527CA70F2}" xr6:coauthVersionLast="47" xr6:coauthVersionMax="47" xr10:uidLastSave="{00000000-0000-0000-0000-000000000000}"/>
  <bookViews>
    <workbookView xWindow="-90" yWindow="0" windowWidth="12980" windowHeight="1377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<sst xmlns="http://schemas.openxmlformats.org/spreadsheetml/2006/main" count="226" uniqueCount="161">
  <si>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</si>
  <si>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</si>
  <si>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</si>
  <si>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</si>
  <si>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</si>
  <si>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</si>
  <si>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</si>
  <si>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</si>
  <si>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</si>
  <si>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</si>
  <si>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</si>
  <si>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</si>
  <si>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</si>
  <si>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</si>
  <si>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</si>
  <si>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</si>
  <si>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</si>
  <si>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</si>
  <si>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</si>
  <si>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</si>
  <si>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</si>
  <si>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</si>
  <si>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</si>
  <si>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</si>
  <si>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</si>
  <si>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</si>
  <si>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</si>
  <si>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</si>
  <si>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</si>
  <si>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</si>
  <si>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</si>
  <si>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</si>
  <si>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</si>
  <si>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</si>
  <si>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</si>
  <si>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</si>
  <si>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</si>
  <si>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</si>
  <si>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</si>
  <si>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</si>
  <si>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</si>
  <si>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</si>
  <si>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</si>
  <si>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</si>
  <si>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</si>
  <si>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</si>
  <si>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</si>
  <si>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</si>
  <si>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</si>
  <si>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</si>
  <si>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</si>
  <si>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</si>
  <si>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α参数的最优范围在0.65到0.8之间。这个参数用于平衡工具描述和参数描述在工具检索中的权重。</t>
  </si>
  <si>
    <t>CypherBench 是如何从 RDF 图生成领域特定属性图的？</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</si>
  <si>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</si>
  <si>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</si>
  <si>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</si>
  <si>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</si>
  <si>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</si>
  <si>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</si>
  <si>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</si>
  <si>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</si>
  <si>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</si>
  <si>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</si>
  <si>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</si>
  <si>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</si>
  <si>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</si>
  <si>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</si>
  <si>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</si>
  <si>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</si>
  <si>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</si>
  <si>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</si>
  <si>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</si>
  <si>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</si>
  <si>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</si>
  <si>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</si>
  <si>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</si>
  <si>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</si>
  <si>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</si>
  <si>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</si>
  <si>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</si>
  <si>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</si>
  <si>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</si>
  <si>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</si>
  <si>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</si>
  <si>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</si>
  <si>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</si>
  <si>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</si>
  <si>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</si>
  <si>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</si>
  <si>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</si>
  <si>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</si>
  <si>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</si>
  <si>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根据已有信息，无法回答此问题。</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</si>
  <si>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</si>
  <si>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</si>
  <si>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</si>
  <si>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</si>
  <si>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</si>
  <si>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</si>
  <si>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</si>
  <si>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</si>
  <si>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</si>
  <si>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</si>
  <si>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</si>
  <si>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</si>
  <si>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</si>
  <si>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</si>
  <si>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</si>
  <si>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</si>
  <si>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</si>
  <si>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</si>
  <si>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</si>
  <si>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</si>
  <si>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</si>
  <si>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</si>
  <si>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</si>
  <si>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</si>
  <si>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question</t>
    <phoneticPr fontId="2" type="noConversion"/>
  </si>
  <si>
    <t>作者将post-training scaling分为三个主要方法：监督微调（Supervised Fine-tuning, SFT）、强化学习（Reinforcement Learning, RL）和测试时计算（Test-time Compute, TTC）。
来自: [A Survey of Post-Training Scaling in Large Language Models, 第2页, A Survey of Post-Training Scaling in Large Language Models_chunk_008]</t>
    <phoneticPr fontId="2" type="noConversion"/>
  </si>
  <si>
    <t>在Humanity's Last Exam上，Agentic Reasoning结合DeepSeek-R1相比基础模型实现了14.4%的性能提升，与OpenAI Deep Research的差距缩小至仅2.8%。
来自: [Agentic Reasoning: A Streamlined Framework for Enhancing LLM Reasoning with Agentic Tools, 第1页, Agentic Reasoning: A Streamlined Framework for Enhancing LLM Reasoning with Agentic Tools_chunk_004]</t>
  </si>
  <si>
    <t>在GAIA基准测试中，Agentic Reasoning在Level 1上达到74.36%，Level 2上达到69.21%，Level 3上达到45.46%，平均66.13%。它在所有公开方法中取得了最高水平，并在Level 1和Level 2上超越了OpenAI Deep Research，在Level 3上的差距缩小至2.26%。
来自: [Agentic Reasoning: A Streamlined Framework for Enhancing LLM Reasoning with Agentic Tools, 第5页, Agentic Reasoning: A Streamlined Framework for Enhancing LLM Reasoning with Agentic Tools_chunk_023]（具体分数）
来自: [Agentic Reasoning: A Streamlined Framework for Enhancing LLM Reasoning with Agentic Tools, 第5页, Agentic Reasoning: A Streamlined Framework for Enhancing LLM Reasoning with Agentic Tools_chunk_022]（与OpenAI Deep Research的比较）</t>
  </si>
  <si>
    <t>知识整合过程包含三个主要步骤：合并一致信息、识别冲突信息、过滤无关信息。
来自: [ASTUTE RAG: Overcoming Imperfect Retrieval Augmentation and Knowledge Conflicts for Large Language Models, 第2页, ASTUTE RAG: Overcoming Imperfect Retrieval Augmentation and Knowledge Conflicts for Large Language Models_chunk_007] 和 [ASTUTE RAG: Overcoming Imperfect Retrieval Augmentation and Knowledge Conflicts for Large Language Models, 第16页, ASTUTE RAG: Overcoming Imperfect Retrieval Augmentation and Knowledge Conflicts for Large Language Models_chunk_046]</t>
  </si>
  <si>
    <r>
      <t>Meta-Bench基准测试中，</t>
    </r>
    <r>
      <rPr>
        <sz val="11"/>
        <color theme="1"/>
        <rFont val="Calibri"/>
        <family val="2"/>
        <charset val="161"/>
      </rPr>
      <t>α</t>
    </r>
    <r>
      <rPr>
        <sz val="11"/>
        <color theme="1"/>
        <rFont val="宋体"/>
        <family val="2"/>
        <scheme val="minor"/>
      </rPr>
      <t>参数的最优范围是多少？这个参数的作用是什么？</t>
    </r>
    <phoneticPr fontId="2" type="noConversion"/>
  </si>
  <si>
    <t>QAEncoder 侧重于优化检索阶段，其核心痛点是文档与查询之间的语义差距（document-query gap），即用户查询与待检索文档在词汇、句法、语义等维度上的不匹配问题。  
On Synthesizing Data for Context Attribution in Question Answering 则侧重于生成后的归因阶段，其核心痛点是上下文归因（context attribution）问题，即如何让模型在给出答案的同时，准确指出答案所依据的支持性句子或证据。
来自: [QAEncoder: Towards Aligned Representation Learning in Question Answering Systems, 第2页, QAEncoder: Towards Aligned Representation Learning in Question Answering Systems_chunk_007]  
来自: [QAEncoder: Towards Aligned Representation Learning in Question Answering Systems, 第1页, QAEncoder: Towards Aligned Representation Learning in Question Answering Systems_chunk_002]  
来自: [On Synthesizing Data for Context Attribution in Question Answering, 第17页, On Synthesizing Data for Context Attribution in Question Answering_chunk_071]</t>
  </si>
  <si>
    <t>在 HALoGEN 基准测试中，表现最好的 LLM 生成事实的幻觉率范围是 3% 到 86%，具体取决于任务领域。
来自: [HALOGEN :FantasticLLMHallucinations and Where to Find Them, 第1页, HALOGEN :FantasticLLMHallucinations and Where to Find Them_chunk_004]</t>
  </si>
  <si>
    <t>《Astute RAG》采用自适应引出（adaptively elicits）机制来提取大模型内部知识；《FaithfulRAG》则通过 Self-Fact Mining 模块将模型的参数化知识具体化为事实层面的内部知识。
来自: [ASTUTE RAG: Overcoming Imperfect Retrieval Augmentation and Knowledge Conflicts for Large Language Models, 第1页, ASTUTE RAG: Overcoming Imperfect Retrieval Augmentation and Knowledge Conflicts for Large Language Models_chunk_001] 和 [FaithfulRAG: Fact-Level Conflict Modeling for Context-Faithful Retrieval-Augmented Generation, 第9页, FaithfulRAG: Fact-Level Conflict Modeling for Context-Faithful Retrieval-Augmented Generation_chunk_050]</t>
  </si>
  <si>
    <t>LongBench v2 是一个静态的基准测试，用于评估大语言模型在长上下文（8k–2M词）下的深度理解与推理能力，覆盖单文档问答、多文档问答等真实场景。AGENTGYM 则是一个交互式框架，提供14种环境，支持对通用大语言模型代理进行训练和评估，强调多环境下的交互探索与学习。
来自: [LongBench v2: Towards Deeper Understanding and Reasoning on Realistic Long-context Multitasks, 第1页, LongBench v2: Towards Deeper Understanding and Reasoning on Realistic Long-context Multitasks_chunk_001]  
来自: [AGENTGYM: Evaluating and Training Large Language Model-based Agents across Diverse Environments, 第1页, AGENTGYM: Evaluating and Training Large Language Model-based Agents across Diverse Environments_chunk_004]</t>
  </si>
  <si>
    <t>Silver noise是指部分包含答案的证据。
来自: [SafeRAG: Benchmarking Security in Retrieval-Augmented Generation of Large Language Model, 第2页, SafeRAG: Benchmarking Security in Retrieval-Augmented Generation of Large Language Model_chunk_007]</t>
    <phoneticPr fontId="2" type="noConversion"/>
  </si>
  <si>
    <t>RAG噪声被分为有益噪声和有害噪声两类。
来自: [Pandora’s Box or Aladdin’s Lamp: A Comprehensive Analysis Revealing the Role of RAG Noise in Large Language Models, 第2页, Pandora’s Box or Aladdin’s Lamp: A Comprehensive Analysis Revealing the Role of RAG Noise in Large Language Models_chunk_006]</t>
    <phoneticPr fontId="2" type="noConversion"/>
  </si>
  <si>
    <t>Ref-Long是一个专门设计用于评估长上下文语言模型的长上下文引用能力的基准。
来自: [Ref-Long: Benchmarking the Long-context Referencing Capability of Long-context Language Models, 第1页, Ref-Long: Benchmarking the Long-context Referencing Capability of Long-context Language Models_chunk_001]</t>
    <phoneticPr fontId="2" type="noConversion"/>
  </si>
  <si>
    <t>SYNQA是一种生成式方法，给定选定的上下文句子，由大语言模型生成完全由这些句子支持的问答对。
来自: [On Synthesizing Data for Context Attribution in Question Answering, 第2页, On Synthesizing Data for Context Attribution in Question Answering_chunk_009]</t>
    <phoneticPr fontId="2" type="noConversion"/>
  </si>
  <si>
    <t>AgenticLU是一个通过将目标自澄清与上下文接地整合到智能体工作流中来增强大语言模型对长上下文查询理解的框架。
来自: [Self-Taught Agentic Long-Context Understanding, 第1页, Self-Taught Agentic Long-Context Understanding_chunk_001]</t>
    <phoneticPr fontId="2" type="noConversion"/>
  </si>
  <si>
    <t>Agentic Reasoning 是一个通过将外部基于LLM的智能体作为工具集成到推理过程中，从而增强大语言模型推理能力的框架。
来自: [Agentic Reasoning: A Streamlined Framework for Enhancing LLM Reasoning with Agentic Tools, 第2页, Agentic Reasoning: A Streamlined Framework for Enhancing LLM Reasoning with Agentic Tools_chunk_008]</t>
    <phoneticPr fontId="2" type="noConversion"/>
  </si>
  <si>
    <t>REAL-MM-RAG 基准测试旨在解决的四个关键属性是：(i) 多模态文档（包含文本、图表、表格等视觉元素）；(ii) 增强难度（需要超越简单关键词匹配，在上下文相似的页面中进行挑战性评估）；(iii) 真实 RAG 查询（问题自然提出，不显式引用页面，反映真实检索场景）；(iv) 准确标注（所有相关文档必须被正确且穷尽地标注，以避免低估检索性能并防止假阴性）。
来自: [REAL-MM-RAG:AReal-World Multi-Modal Retrieval Benchmark, 第1页, REAL-MM-RAG:AReal-World Multi-Modal Retrieval Benchmark_chunk_003]</t>
    <phoneticPr fontId="2" type="noConversion"/>
  </si>
  <si>
    <t>ASTUTE RAG是一种新颖的检索增强生成方法，旨在对不完美的检索增强具有鲁棒性，同时保留可靠检索时的 grounding 效果。它用于缓解不完美检索增强的影响，解决LLM内部知识与外部知识之间的冲突，从而生成更准确可靠的响应。
来自: [ASTUTE RAG: Overcoming Imperfect Retrieval Augmentation and Knowledge Conflicts for Large Language Models, 第2页, ASTUTE RAG: Overcoming Imperfect Retrieval Augmentation and Knowledge Conflicts for Large Language Models_chunk_007] 和 [ASTUTE RAG: Overcoming Imperfect Retrieval Augmentation and Knowledge Conflicts for Large Language Models, 第4页, ASTUTE RAG: Overcoming Imperfect Retrieval Augmentation and Knowledge Conflicts for Large Language Models_chunk_016]</t>
    <phoneticPr fontId="2" type="noConversion"/>
  </si>
  <si>
    <t>L-CiteEval是一个开箱即用的评估套件，包含多任务长上下文基准和相应的评估流程。
来自: [L-CiteEval: A Suite for Evaluating Fidelity of Long-context Models, 第8页, L-CiteEval: A Suite for Evaluating Fidelity of Long-context Models_chunk_056]</t>
    <phoneticPr fontId="2" type="noConversion"/>
  </si>
  <si>
    <t>LongBench v2 包含 503 个多项选择题，上下文长度范围从 8k 到 2M 词。
来自: [LongBench v2: Towards Deeper Understanding and Reasoning on Realistic Long-context Multitasks, 第1页, LongBench v2: Towards Deeper Understanding and Reasoning on Realistic Long-context Multitasks_chunk_004]</t>
    <phoneticPr fontId="2" type="noConversion"/>
  </si>
  <si>
    <t>RHIO框架的三个主要组成部分是：不忠实数据增强（unfaithful data augmentation）、忠实性感知调优（faithfulness-aware tuning）和自诱导解码（self-induced decoding）。
来自: [Improving Contextual Faithfulness of Large Language Models via Retrieval Heads-Induced Optimization, 第15页, Improving Contextual Faithfulness of Large Language Models via Retrieval Heads-Induced Optimization_chunk_065]</t>
    <phoneticPr fontId="2" type="noConversion"/>
  </si>
  <si>
    <t>作者发现使用标准的短上下文指令数据集（如Ultra-Chat）就足以在长上下文任务上取得良好性能，而长合成指令数据不会进一步提升性能。
来自: [How to Train Long-Context Language Models (Effectively), 第2页, How to Train Long-Context Language Models (Effectively)_chunk_006]</t>
    <phoneticPr fontId="2" type="noConversion"/>
  </si>
  <si>
    <t>LongRefiner 将推理过程拆分为离线和在线两个阶段：离线阶段预先对语料库中的文档执行层次化结构处理，在线阶段仅需对用户查询进行分析并完成自适应精炼，从而大幅减少在线处理的输入和输出 token 数量，使整体延迟降至标准设置的约 25%。
来自: [Hierarchical Document Refinement for Long-context Retrieval-augmented Generation, 第6页, Hierarchical Document Refinement for Long-context Retrieval-augmented Generation_chunk_030]</t>
    <phoneticPr fontId="2" type="noConversion"/>
  </si>
  <si>
    <t>DRAG框架通过本地模型在将查询上传到云端之前重新表述或剥离敏感信息，确保隐私数据不离开本地；云端模型仅处理清理后的查询并返回证据和知识图谱，本地模型再生成最终答案。
来自: [DRAG: Distilling RAG for SLMs from LLMs to Transfer Knowledge and Mitigate Hallucination via Evidence and Graph-based Distillation, 第1页, DRAG: Distilling RAG for SLMs from LLMs to Transfer Knowledge and Mitigate Hallucination via Evidence and Graph-based Distillation_chunk_004]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Distillation_chunk_025]</t>
    <phoneticPr fontId="2" type="noConversion"/>
  </si>
  <si>
    <t>SG-MCTS 在每次迭代中依次执行四个步骤：选择（selection）、反思引导的扩展（reflection-guided expansion）、评估（evaluation）和反向传播（backpropagation）。
来自: [Think&amp;Cite: Improving Attributed Text Generation with Self-Guided Tree Search and Progress Reward Modeling, 第3页, Think&amp;Cite: Improving Attributed Text Generation with Self-Guided Tree Search and Progress Reward Modeling_chunk_014]</t>
    <phoneticPr fontId="2" type="noConversion"/>
  </si>
  <si>
    <t>SETR 的段落选择提示引导的三个关键步骤是：(1) 列举回答查询所需的关键信息需求；(2) 为每个需求识别包含相关信息的段落；(3) 选择一组段落，这些段落共同提供最全面和多样化的覆盖，以有效回答查询。
来自: [Shifting from Ranking to Set Selection for Retrieval Augmented Generation, 第4页, Shifting from Ranking to Set Selection for Retrieval Augmented Generation_chunk_015]</t>
    <phoneticPr fontId="2" type="noConversion"/>
  </si>
  <si>
    <r>
      <t>在Meta-Tool中，</t>
    </r>
    <r>
      <rPr>
        <sz val="11"/>
        <color theme="1"/>
        <rFont val="Calibri"/>
        <family val="2"/>
        <charset val="161"/>
      </rPr>
      <t>α</t>
    </r>
    <r>
      <rPr>
        <sz val="11"/>
        <color theme="1"/>
        <rFont val="宋体"/>
        <family val="2"/>
        <scheme val="minor"/>
      </rPr>
      <t>参数的最优范围是0.65到0.8。它的作用是平衡工具描述和参数描述在工具检索中的权重，以优化检索性能。
来自: [Meta-Tool: Unleash Open-World Function Calling Capabilities of General-Purpose Large Language Models, 第20页, Meta-Tool: Unleash Open-World Function Calling Capabilities of General-Purpose Large Language Models_chunk_071]</t>
    </r>
    <phoneticPr fontId="2" type="noConversion"/>
  </si>
  <si>
    <t>CypherBench 通过定义领域特定的模式（schema），并利用 RDF 到属性图的转换层，将 RDF 数据转换为多个领域特定的属性图视图。转换层负责数据类型转换和单位标准化，生成模式强制、严格类型化的数据；每个属性图视图包含所有符合其各自模式的数据。
来自: [CYPHERBENCH: Towards Precise Retrieval over Full-scale Modern Knowledge Graphs in the LLM Era, 第4页, CYPHERBENCH: Towards Precise Retrieval over Full-scale Modern Knowledge Graphs in the LLM Era_chunk_016][CYPHERBENCH: Towards Precise Retrieval over Full-scale Modern Knowledge Graphs in the LLM Era, 第4页, CYPHERBENCH: Towards Precise Retrieval over Full-scale Modern Knowledge Graphs in the LLM Era_chunk_017]</t>
    <phoneticPr fontId="2" type="noConversion"/>
  </si>
  <si>
    <t>ClinRaGen的三阶段理由蒸馏范式为：第一阶段从医疗笔记中蒸馏理由，使小语言模型建立对文本临床信息的基础理解；第二阶段引入知识增强注意力，将数值实验室测试与结构化医学知识对齐，蒸馏基于实验室测试的理由；第三阶段完全整合文本和数值输入，使小语言模型生成临床连贯的多模态理由以支持疾病诊断。
来自: [Knowledge-Augmented Multimodal Clinical Rationale Generation for Disease Diagnosis with Small Language Models, 第4页, Knowledge-Augmented Multimodal Clinical Rationale Generation for Disease Diagnosis with Small Language Models_chunk_016]</t>
    <phoneticPr fontId="2" type="noConversion"/>
  </si>
  <si>
    <t>QAEncoder通过为每个文档生成多样化的查询来创建语义对齐的嵌入，并采用文档指纹策略确保文档可区分性，从而弥合文档-查询差距。
来自: [QAEncoder: Towards Aligned Representation Learning in Question Answering Systems, 第5页, QAEncoder: Towards Aligned Representation Learning in Question Answering Systems_chunk_019]</t>
    <phoneticPr fontId="2" type="noConversion"/>
  </si>
  <si>
    <t>在HALOGEN的文本简化任务中，验证模型生成简化文本忠实性的方法是：先使用GPT-3.5将简化文本分解为独立事实，然后使用Llama-2-70B判断每个原子事实是否由原文蕴含。
来自: [HALOGEN :FantasticLLMHallucinations and Where to Find Them, 第3页, HALOGEN :FantasticLLMHallucinations and Where to Find Them_chunk_017]</t>
    <phoneticPr fontId="2" type="noConversion"/>
  </si>
  <si>
    <t>在Cited scenario下，GPT-4o是表现最好的模型，Llama-3-70B则与GPT-4o-mini水平相当；而在Full scenario下，Llama-3-70B的表现优于GPT-4o，取得了最佳性能。
来自: [CiteEval: Principle-Driven Citation Evaluation for Source Attribution, 第8页, CiteEval: Principle-Driven Citation Evaluation for Source Attribution_chunk_041]</t>
    <phoneticPr fontId="2" type="noConversion"/>
  </si>
  <si>
    <t>在FaithEval数据集上，以Mistral-7B为backbone的FaithfulRAG准确率为81.7%，相比最强基线（KRE的73.2%）提高了8.5%。
来自: [FaithfulRAG: Fact-Level Conflict Modeling for Context-Faithful Retrieval-Augmented Generation, 第7页, FaithfulRAG: Fact-Level Conflict Modeling for Context-Faithful Retrieval-Augmented Generation_chunk_037]</t>
    <phoneticPr fontId="2" type="noConversion"/>
  </si>
  <si>
    <t>RankCoT 在 Has-Answer 场景中优于所有知识精炼模型，在 Miss-Answer 场景中相比 vanilla RAG 表现出最显著的性能提升，在内部知识冲突场景中也优于 vanilla RAG。这说明 RankCoT 能有效整合查询相关信息、过滤噪声文档的误导、缓解知识冲突，并帮助 RAG 系统保持答案一致性。
来自: [RankCoT: Refining Knowledge for Retrieval-Augmented Generation through Ranking Chain-of-Thoughts, 第7页, RankCoT: Refining Knowledge for Retrieval-Augmented Generation through Ranking Chain-of-Thoughts_chunk_045] 和 [RankCoT: Refining Knowledge for Retrieval-Augmented Generation through Ranking Chain-of-Thoughts, 第12页, RankCoT: Refining Knowledge for Retrieval-Augmented Generation through Ranking Chain-of-Thoughts_chunk_056]</t>
    <phoneticPr fontId="2" type="noConversion"/>
  </si>
  <si>
    <t>AGENTSTAR在WebShop、ALFWorld和BabyAI任务上的表现分别比GPT-4-Turbo高出61.00、20.50和9.87个点。
来自: [AGENTGYM: Evaluating and Training Large Language Model-based Agents across Diverse Environments, 第7页, AGENTGYM: Evaluating and Training Large Language Model-based Agents across Diverse Environments_chunk_045]</t>
    <phoneticPr fontId="2" type="noConversion"/>
  </si>
  <si>
    <t>人类医生在所有专科的诊断准确率上均超越Med-MLLMs，平均准确率在0.538至0.641之间，而所有Med-MLLMs的平均准确率均低于此范围。其中GPT-4V表现最接近人类医生，准确率为54.3%，但仍低于初级医生的57.4%。此外，Med-MLLMs在不同专科间的表现变异性明显低于人类医生。
来自: [Asclepius: A Spectrum Evaluation Benchmark for Medical Multi-Modal Large Language Models, 第7页, Asclepius: A Spectrum Evaluation Benchmark for Medical Multi-Modal Large Language Models_chunk_032]
来自: [Asclepius: A Spectrum Evaluation Benchmark for Medical Multi-Modal Large Language Models, 第15页, Asclepius: A Spectrum Evaluation Benchmark for Medical Multi-Modal Large Language Models_chunk_048]
来自: [Asclepius: A Spectrum Evaluation Benchmark for Medical Multi-Modal Large Language Models, 第7页, Asclepius: A Spectrum Evaluation Benchmark for Medical Multi-Modal Large Language Models_chunk_029]</t>
    <phoneticPr fontId="2" type="noConversion"/>
  </si>
  <si>
    <t>在LongDocURL基准测试中，GPT-4o取得了64.5的最高分，是唯一达到及格标准的模型。开源模型表现明显较弱，最好的开源模型Qwen2-VL仅得30.6分，LLaVA-OneVision分别得到22.0和25.0分，其余开源模型得分均低于20。
来自: [LongDocURL: a Comprehensive Multimodal Long Document Benchmark Integrating Understanding, Reasoning, and Locating, 第2页, LongDocURL: a Comprehensive Multimodal Long Document Benchmark Integrating Understanding, Reasoning, and Locating_chunk_007]
来自: [LongDocURL: a Comprehensive Multimodal Long Document Benchmark Integrating Understanding, Reasoning, and Locating, 第6页, LongDocURL: a Comprehensive Multimodal Long Document Benchmark Integrating Understanding, Reasoning, and Locating_chunk_026]</t>
    <phoneticPr fontId="2" type="noConversion"/>
  </si>
  <si>
    <t>RAGEval 使用 LLM 对提出的指标进行评分，与人工评估表现出高度一致性。
来自: [RAGEval: Scenario Specific RAG Evaluation Dataset Generation Framework, 第1页, RAGEval: Scenario Specific RAG Evaluation Dataset Generation Framework_chunk_001]</t>
    <phoneticPr fontId="2" type="noConversion"/>
  </si>
  <si>
    <r>
      <t>UniRAG 的核心创新在于构建统一的查询理解框架，将查询增强与编码集成到单一模型中，通过自适应选择增强策略和对比学习来提升查询理解和检索准确性。FaithfulRAG 的核心创新则聚焦于从查询中挖掘模型自身的参数知识（Self</t>
    </r>
    <r>
      <rPr>
        <sz val="11"/>
        <color theme="1"/>
        <rFont val="Cambria Math"/>
        <family val="1"/>
        <charset val="1"/>
      </rPr>
      <t>‑</t>
    </r>
    <r>
      <rPr>
        <sz val="11"/>
        <color theme="1"/>
        <rFont val="宋体"/>
        <family val="3"/>
        <charset val="134"/>
        <scheme val="minor"/>
      </rPr>
      <t>Fact Mining），将其具体化为事实并与检索上下文对齐，进而在事实层面识别和解决知识冲突，从而深化对查询的语义理解。
来自: [UniRAG: Unified Query Understanding Method for Retrieval Augmented Generation, 第9页, UniRAG: Unified Query Understanding Method for Retrieval Augmented Generation_chunk_042]
来自: [FaithfulRAG: Fact-Level Conflict Modeling for Context-Faithful Retrieval-Augmented Generation, 第4页, FaithfulRAG: Fact-Level Conflict Modeling for Context-Faithful Retrieval-Augmented Generation_chunk_015]
来自: [FaithfulRAG: Fact-Level Conflict Modeling for Context-Faithful Retrieval-Augmented Generation, 第9页, FaithfulRAG: Fact-Level Conflict Modeling for Context-Faithful Retrieval-Augmented Generation_chunk_050]</t>
    </r>
    <phoneticPr fontId="2" type="noConversion"/>
  </si>
  <si>
    <t>MEMERAG和DragonBall都是面向RAG系统的多语言基准，但评估维度不同。MEMERAG聚焦于生成内容的评估，通过人类专家对每个生成句子标注忠实度（faithfulness）和相关性（relevance），形成一个元评估基准，用于衡量自动评估器与人类判断的相关性。DragonBall则聚焦于检索阶段的性能，主要评估召回率（Recall）和EIR等检索指标。两者的共同点在于都支持多语言场景：MEMERAG覆盖5种语言，DragonBall包含中英文数据。
来自: [MEMERAG:AMultilingual End-to-End Meta-Evaluation Benchmark for Retrieval Augmented Generation, 第3页, MEMERAG:AMultilingual End-to-End Meta-Evaluation Benchmark for Retrieval Augmented Generation_chunk_014]；[RAGEval: Scenario Specific RAG Evaluation Dataset Generation Framework, 第4页, RAGEval: Scenario Specific RAG Evaluation Dataset Generation Framework_chunk_018]；[RAGEval: Scenario Specific RAG Evaluation Dataset Generation Framework, 第17页, RAGEval: Scenario Specific RAG Evaluation Dataset Generation Framework_chunk_064]</t>
    <phoneticPr fontId="2" type="noConversion"/>
  </si>
  <si>
    <t>Agentic Reasoning 的核心机制是将外部基于 LLM 的智能体（Agent）作为工具集成到推理过程中，通过委托 Web-Search、Code 和 Mind-Map 等辅助智能体来增强问题解决能力。  
AR-MCTS 的核心机制是将主动检索（Active Retrieval）与蒙特卡洛树搜索（MCTS）相结合，自动获取高质量的逐步推理标注，并逐步对齐过程奖励模型（PRM）以实现过程级的多模态推理验证。
来自: [Agentic Reasoning: A Streamlined Framework for Enhancing LLM Reasoning with Agentic Tools, 第2页, Agentic Reasoning: A Streamlined Framework for Enhancing LLM Reasoning with Agentic Tools_chunk_008]  
来自: [Progressive Multimodal Reasoning via Active Retrieval, 第1页, Progressive Multimodal Reasoning via Active Retrieval_chunk_000]  
来自: [Progressive Multimodal Reasoning via Active Retrieval, 第9页, Progressive Multimodal Reasoning via Active Retrieval_chunk_047]</t>
    <phoneticPr fontId="2" type="noConversion"/>
  </si>
  <si>
    <r>
      <t>MAIN</t>
    </r>
    <r>
      <rPr>
        <sz val="11"/>
        <color theme="1"/>
        <rFont val="Cambria Math"/>
        <family val="1"/>
        <charset val="1"/>
      </rPr>
      <t>‑</t>
    </r>
    <r>
      <rPr>
        <sz val="11"/>
        <color theme="1"/>
        <rFont val="宋体"/>
        <family val="3"/>
        <charset val="134"/>
        <scheme val="minor"/>
      </rPr>
      <t>RAG 采用训练无关的多智能体协同过滤方法，通过多个 LLM 智能体对检索文档进行评分与过滤，并自适应调整相关性阈值，以共识驱动策略筛选高质量文档来提升可靠性。  
RAG</t>
    </r>
    <r>
      <rPr>
        <sz val="11"/>
        <color theme="1"/>
        <rFont val="Cambria Math"/>
        <family val="1"/>
        <charset val="1"/>
      </rPr>
      <t>‑</t>
    </r>
    <r>
      <rPr>
        <sz val="11"/>
        <color theme="1"/>
        <rFont val="宋体"/>
        <family val="3"/>
        <charset val="134"/>
        <scheme val="minor"/>
      </rPr>
      <t>Critic 采用批评引导的智能体工作流方法，先构建层次化 RAG 错误系统并训练错误批评模型，再根据细粒度错误反馈自动定制纠正方案，实现错误驱动的自主修正来提升可靠性。
来自: [MAIN-RAG: Multi-Agent Filtering Retrieval-Augmented Generation, 第1页, MAIN-RAG: Multi-Agent Filtering Retrieval-Augmented Generation_chunk_006]  
来自: [RAG-Critic: Leveraging Automated Critic-Guided Agentic Workflow for Retrieval Augmented Generation, 第8页, RAG-Critic: Leveraging Automated Critic-Guided Agentic Workflow for Retrieval Augmented Generation_chunk_040]  
来自: [RAG-Critic: Leveraging Automated Critic-Guided Agentic Workflow for Retrieval Augmented Generation, 第9页, RAG-Critic: Leveraging Automated Critic-Guided Agentic Workflow for Retrieval Augmented Generation_chunk_047]</t>
    </r>
    <phoneticPr fontId="2" type="noConversion"/>
  </si>
  <si>
    <t>人类专家在15分钟时间限制下的准确率为53.7%。
来自: [LongBench v2: Towards Deeper Understanding and Reasoning on Realistic Long-context Multitasks, 第1页, LongBench v2: Towards Deeper Understanding and Reasoning on Realistic Long-context Multitasks_chunk_001]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</si>
</sst>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宋体"/>
      <family val="2"/>
      <scheme val="minor"/>
    </font>
    <font>
      <b/>
      <sz val="11"/>
      <name val="宋体"/>
      <family val="3"/>
      <charset val="134"/>
    </font>
    <font>
      <sz val="9"/>
      <name val="宋体"/>
      <family val="3"/>
      <charset val="134"/>
      <scheme val="minor"/>
    </font>
    <font>
      <sz val="11"/>
      <color theme="1"/>
      <name val="Calibri"/>
      <family val="2"/>
      <charset val="161"/>
    </font>
    <font>
      <sz val="11"/>
      <color theme="1"/>
      <name val="宋体"/>
      <family val="3"/>
      <charset val="134"/>
      <scheme val="minor"/>
    </font>
    <font>
      <sz val="11"/>
      <color theme="1"/>
      <name val="Cambria Math"/>
      <family val="1"/>
      <charset val="1"/>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3"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42" workbookViewId="0">
      <selection activeCell="F42" sqref="F42"/>
    </sheetView>
  </sheetViews>
  <sheetFormatPr defaultRowHeight="14" x14ac:dyDescent="0.25"/>
  <cols>
    <col min="1" max="4" width="19.81640625" style="2" customWidth="1"/>
    <col min="5" max="8" width="8.7265625" style="2"/>
    <col min="9" max="9" width="8.7265625" style="4"/>
    <col min="10" max="16384" width="8.7265625" style="2"/>
  </cols>
  <sheetData>
    <row r="1" spans="1:15" ht="42" x14ac:dyDescent="0.25">
      <c r="A1" s="1" t="s">
        <v>118</v>
      </c>
      <c r="B1" s="1" t="s">
        <v>0</v>
      </c>
      <c r="C1" s="1" t="s">
        <v>1</v>
      </c>
      <c r="D1" s="1" t="s">
        <v>2</v>
      </c>
      <c r="E1" s="1" t="s">
        <v>3</v>
      </c>
      <c r="F1" s="1" t="s">
        <v>4</v>
      </c>
      <c r="G1" s="1" t="s">
        <v>5</v>
      </c>
      <c r="H1" s="1" t="s">
        <v>6</v>
      </c>
      <c r="I1" s="3" t="s">
        <v>7</v>
      </c>
      <c r="J1" s="1" t="s">
        <v>8</v>
      </c>
      <c r="K1" s="1" t="s">
        <v>9</v>
      </c>
      <c r="L1" s="1" t="s">
        <v>10</v>
      </c>
      <c r="M1" s="1" t="s">
        <v>11</v>
      </c>
      <c r="N1" s="1" t="s">
        <v>12</v>
      </c>
      <c r="O1" s="1" t="s">
        <v>13</v>
      </c>
    </row>
    <row r="2" spans="1:15" ht="252" x14ac:dyDescent="0.25">
      <c r="A2" s="2" t="s">
        <v>14</v>
      </c>
      <c r="B2" s="2" t="s">
        <v>15</v>
      </c>
      <c r="C2" s="2" t="s">
        <v>16</v>
      </c>
      <c r="D2" s="2" t="s">
        <v>119</v>
      </c>
      <c r="E2" s="2">
        <v>1</v>
      </c>
      <c r="F2" s="2">
        <v>1</v>
      </c>
      <c r="G2" s="2">
        <v>1</v>
      </c>
      <c r="H2" s="2">
        <v>1</v>
      </c>
      <c r="I2" s="4">
        <v>1</v>
      </c>
      <c r="J2" s="2">
        <v>1</v>
      </c>
      <c r="K2" s="2" t="b">
        <v>0</v>
      </c>
      <c r="L2" s="2">
        <v>3</v>
      </c>
      <c r="M2" s="2">
        <v>0</v>
      </c>
      <c r="N2" s="2">
        <v>0</v>
      </c>
    </row>
    <row r="3" spans="1:15" ht="210" x14ac:dyDescent="0.25">
      <c r="A3" s="2" t="s">
        <v>17</v>
      </c>
      <c r="B3" s="2" t="s">
        <v>15</v>
      </c>
      <c r="C3" s="2" t="s">
        <v>18</v>
      </c>
      <c r="D3" s="2" t="s">
        <v>128</v>
      </c>
      <c r="E3" s="2">
        <v>1</v>
      </c>
      <c r="F3" s="2">
        <v>1</v>
      </c>
      <c r="G3" s="2">
        <v>1</v>
      </c>
      <c r="H3" s="2">
        <v>1</v>
      </c>
      <c r="I3" s="4">
        <v>1</v>
      </c>
      <c r="J3" s="2">
        <v>1</v>
      </c>
      <c r="K3" s="2" t="b">
        <v>0</v>
      </c>
      <c r="L3" s="2">
        <v>1</v>
      </c>
      <c r="M3" s="2">
        <v>0</v>
      </c>
      <c r="N3" s="2">
        <v>0</v>
      </c>
    </row>
    <row r="4" spans="1:15" ht="252" x14ac:dyDescent="0.25">
      <c r="A4" s="2" t="s">
        <v>19</v>
      </c>
      <c r="B4" s="2" t="s">
        <v>15</v>
      </c>
      <c r="C4" s="2" t="s">
        <v>20</v>
      </c>
      <c r="D4" s="2" t="s">
        <v>129</v>
      </c>
      <c r="E4" s="2">
        <v>1</v>
      </c>
      <c r="F4" s="2">
        <v>1</v>
      </c>
      <c r="G4" s="2">
        <v>1</v>
      </c>
      <c r="H4" s="2">
        <v>1</v>
      </c>
      <c r="I4" s="4">
        <v>1</v>
      </c>
      <c r="J4" s="2">
        <v>1</v>
      </c>
      <c r="K4" s="2" t="b">
        <v>0</v>
      </c>
      <c r="L4" s="2">
        <v>1</v>
      </c>
      <c r="M4" s="2">
        <v>0</v>
      </c>
      <c r="N4" s="2">
        <v>0</v>
      </c>
    </row>
    <row r="5" spans="1:15" ht="238" x14ac:dyDescent="0.25">
      <c r="A5" s="2" t="s">
        <v>21</v>
      </c>
      <c r="B5" s="2" t="s">
        <v>15</v>
      </c>
      <c r="C5" s="2" t="s">
        <v>22</v>
      </c>
      <c r="D5" s="2" t="s">
        <v>130</v>
      </c>
      <c r="E5" s="2">
        <v>1</v>
      </c>
      <c r="F5" s="2">
        <v>1</v>
      </c>
      <c r="G5" s="2">
        <v>1</v>
      </c>
      <c r="H5" s="2">
        <v>1</v>
      </c>
      <c r="I5" s="4">
        <v>1</v>
      </c>
      <c r="J5" s="2">
        <v>0.66700000000000004</v>
      </c>
      <c r="K5" s="2" t="b">
        <v>0</v>
      </c>
      <c r="L5" s="2">
        <v>1</v>
      </c>
      <c r="M5" s="2">
        <v>0</v>
      </c>
      <c r="N5" s="2">
        <v>1</v>
      </c>
    </row>
    <row r="6" spans="1:15" ht="252" x14ac:dyDescent="0.25">
      <c r="A6" s="2" t="s">
        <v>23</v>
      </c>
      <c r="B6" s="2" t="s">
        <v>15</v>
      </c>
      <c r="C6" s="2" t="s">
        <v>24</v>
      </c>
      <c r="D6" s="2" t="s">
        <v>131</v>
      </c>
      <c r="E6" s="2">
        <v>0</v>
      </c>
      <c r="F6" s="2">
        <v>1</v>
      </c>
      <c r="G6" s="2">
        <v>1</v>
      </c>
      <c r="H6" s="2">
        <v>0.33333333333333331</v>
      </c>
      <c r="I6" s="4">
        <v>1</v>
      </c>
      <c r="J6" s="2">
        <v>0.85699999999999998</v>
      </c>
      <c r="K6" s="2" t="b">
        <v>0</v>
      </c>
      <c r="L6" s="2">
        <v>3</v>
      </c>
      <c r="M6" s="2">
        <v>0</v>
      </c>
      <c r="N6" s="2">
        <v>1</v>
      </c>
    </row>
    <row r="7" spans="1:15" ht="252" x14ac:dyDescent="0.25">
      <c r="A7" s="2" t="s">
        <v>25</v>
      </c>
      <c r="B7" s="2" t="s">
        <v>15</v>
      </c>
      <c r="C7" s="2" t="s">
        <v>26</v>
      </c>
      <c r="D7" s="2" t="s">
        <v>132</v>
      </c>
      <c r="E7" s="2">
        <v>1</v>
      </c>
      <c r="F7" s="2">
        <v>1</v>
      </c>
      <c r="G7" s="2">
        <v>1</v>
      </c>
      <c r="H7" s="2">
        <v>1</v>
      </c>
      <c r="I7" s="4">
        <v>1</v>
      </c>
      <c r="J7" s="2">
        <v>0.66700000000000004</v>
      </c>
      <c r="K7" s="2" t="b">
        <v>0</v>
      </c>
      <c r="L7" s="2">
        <v>1</v>
      </c>
      <c r="M7" s="2">
        <v>0</v>
      </c>
      <c r="N7" s="2">
        <v>1</v>
      </c>
    </row>
    <row r="8" spans="1:15" ht="308" x14ac:dyDescent="0.25">
      <c r="A8" s="2" t="s">
        <v>27</v>
      </c>
      <c r="B8" s="2" t="s">
        <v>15</v>
      </c>
      <c r="C8" s="2" t="s">
        <v>28</v>
      </c>
      <c r="D8" s="2" t="s">
        <v>133</v>
      </c>
      <c r="E8" s="2">
        <v>1</v>
      </c>
      <c r="F8" s="2">
        <v>1</v>
      </c>
      <c r="G8" s="2">
        <v>1</v>
      </c>
      <c r="H8" s="2">
        <v>1</v>
      </c>
      <c r="I8" s="4">
        <v>1</v>
      </c>
      <c r="J8" s="2">
        <v>1</v>
      </c>
      <c r="K8" s="2" t="b">
        <v>0</v>
      </c>
      <c r="L8" s="2">
        <v>1</v>
      </c>
      <c r="M8" s="2">
        <v>0</v>
      </c>
      <c r="N8" s="2">
        <v>0</v>
      </c>
    </row>
    <row r="9" spans="1:15" ht="409.5" x14ac:dyDescent="0.25">
      <c r="A9" s="2" t="s">
        <v>29</v>
      </c>
      <c r="B9" s="2" t="s">
        <v>15</v>
      </c>
      <c r="C9" s="2" t="s">
        <v>30</v>
      </c>
      <c r="D9" s="2" t="s">
        <v>134</v>
      </c>
      <c r="E9" s="2">
        <v>1</v>
      </c>
      <c r="F9" s="2">
        <v>1</v>
      </c>
      <c r="G9" s="2">
        <v>1</v>
      </c>
      <c r="H9" s="2">
        <v>1</v>
      </c>
      <c r="I9" s="4">
        <v>1</v>
      </c>
      <c r="J9" s="2">
        <v>1</v>
      </c>
      <c r="K9" s="2" t="b">
        <v>0</v>
      </c>
      <c r="L9" s="2">
        <v>4</v>
      </c>
      <c r="M9" s="2">
        <v>0</v>
      </c>
      <c r="N9" s="2">
        <v>0</v>
      </c>
    </row>
    <row r="10" spans="1:15" ht="409.5" x14ac:dyDescent="0.25">
      <c r="A10" s="2" t="s">
        <v>31</v>
      </c>
      <c r="B10" s="2" t="s">
        <v>15</v>
      </c>
      <c r="C10" s="2" t="s">
        <v>32</v>
      </c>
      <c r="D10" s="2" t="s">
        <v>135</v>
      </c>
      <c r="E10" s="2">
        <v>1</v>
      </c>
      <c r="F10" s="2">
        <v>1</v>
      </c>
      <c r="G10" s="2">
        <v>1</v>
      </c>
      <c r="H10" s="2">
        <v>1</v>
      </c>
      <c r="I10" s="4">
        <v>1</v>
      </c>
      <c r="J10" s="2">
        <v>0.85699999999999998</v>
      </c>
      <c r="K10" s="2" t="b">
        <v>0</v>
      </c>
      <c r="L10" s="2">
        <v>3</v>
      </c>
      <c r="M10" s="2">
        <v>0</v>
      </c>
      <c r="N10" s="2">
        <v>1</v>
      </c>
    </row>
    <row r="11" spans="1:15" ht="266" x14ac:dyDescent="0.25">
      <c r="A11" s="2" t="s">
        <v>33</v>
      </c>
      <c r="B11" s="2" t="s">
        <v>15</v>
      </c>
      <c r="C11" s="2" t="s">
        <v>34</v>
      </c>
      <c r="D11" s="2" t="s">
        <v>136</v>
      </c>
      <c r="E11" s="2">
        <v>1</v>
      </c>
      <c r="F11" s="2">
        <v>1</v>
      </c>
      <c r="G11" s="2">
        <v>1</v>
      </c>
      <c r="H11" s="2">
        <v>1</v>
      </c>
      <c r="I11" s="4">
        <v>1</v>
      </c>
      <c r="J11" s="2">
        <v>0.85699999999999998</v>
      </c>
      <c r="K11" s="2" t="b">
        <v>0</v>
      </c>
      <c r="L11" s="2">
        <v>3</v>
      </c>
      <c r="M11" s="2">
        <v>0</v>
      </c>
      <c r="N11" s="2">
        <v>1</v>
      </c>
    </row>
    <row r="12" spans="1:15" ht="252" x14ac:dyDescent="0.25">
      <c r="A12" s="2" t="s">
        <v>35</v>
      </c>
      <c r="B12" s="2" t="s">
        <v>15</v>
      </c>
      <c r="C12" s="2" t="s">
        <v>36</v>
      </c>
      <c r="D12" s="2" t="s">
        <v>137</v>
      </c>
      <c r="E12" s="2">
        <v>1</v>
      </c>
      <c r="F12" s="2">
        <v>1</v>
      </c>
      <c r="G12" s="2">
        <v>1</v>
      </c>
      <c r="H12" s="2">
        <v>1</v>
      </c>
      <c r="I12" s="4">
        <v>1</v>
      </c>
      <c r="J12" s="2">
        <v>1</v>
      </c>
      <c r="K12" s="2" t="b">
        <v>0</v>
      </c>
      <c r="L12" s="2">
        <v>2</v>
      </c>
      <c r="M12" s="2">
        <v>0</v>
      </c>
      <c r="N12" s="2">
        <v>0</v>
      </c>
    </row>
    <row r="13" spans="1:15" ht="392" x14ac:dyDescent="0.25">
      <c r="A13" s="2" t="s">
        <v>37</v>
      </c>
      <c r="B13" s="2" t="s">
        <v>15</v>
      </c>
      <c r="C13" s="2" t="s">
        <v>38</v>
      </c>
      <c r="D13" s="2" t="s">
        <v>138</v>
      </c>
      <c r="E13" s="2">
        <v>1</v>
      </c>
      <c r="F13" s="2">
        <v>1</v>
      </c>
      <c r="G13" s="2">
        <v>1</v>
      </c>
      <c r="H13" s="2">
        <v>1</v>
      </c>
      <c r="I13" s="4">
        <v>1</v>
      </c>
      <c r="J13" s="2">
        <v>1</v>
      </c>
      <c r="K13" s="2" t="b">
        <v>0</v>
      </c>
      <c r="L13" s="2">
        <v>3</v>
      </c>
      <c r="M13" s="2">
        <v>0</v>
      </c>
      <c r="N13" s="2">
        <v>0</v>
      </c>
    </row>
    <row r="14" spans="1:15" ht="224" x14ac:dyDescent="0.25">
      <c r="A14" s="2" t="s">
        <v>39</v>
      </c>
      <c r="B14" s="2" t="s">
        <v>40</v>
      </c>
      <c r="C14" s="2" t="s">
        <v>41</v>
      </c>
      <c r="D14" s="2" t="s">
        <v>139</v>
      </c>
      <c r="E14" s="2">
        <v>1</v>
      </c>
      <c r="F14" s="2">
        <v>1</v>
      </c>
      <c r="G14" s="2">
        <v>1</v>
      </c>
      <c r="H14" s="2">
        <v>1</v>
      </c>
      <c r="I14" s="4">
        <v>1</v>
      </c>
      <c r="J14" s="2">
        <v>1</v>
      </c>
      <c r="K14" s="2" t="b">
        <v>0</v>
      </c>
      <c r="L14" s="2">
        <v>1</v>
      </c>
      <c r="M14" s="2">
        <v>0</v>
      </c>
      <c r="N14" s="2">
        <v>0</v>
      </c>
    </row>
    <row r="15" spans="1:15" ht="224" x14ac:dyDescent="0.25">
      <c r="A15" s="2" t="s">
        <v>42</v>
      </c>
      <c r="B15" s="2" t="s">
        <v>40</v>
      </c>
      <c r="C15" s="2" t="s">
        <v>43</v>
      </c>
      <c r="D15" s="2" t="s">
        <v>122</v>
      </c>
      <c r="E15" s="2">
        <v>1</v>
      </c>
      <c r="F15" s="2">
        <v>1</v>
      </c>
      <c r="G15" s="2">
        <v>1</v>
      </c>
      <c r="H15" s="2">
        <v>1</v>
      </c>
      <c r="I15" s="4">
        <v>0.5</v>
      </c>
      <c r="J15" s="2">
        <v>1</v>
      </c>
      <c r="K15" s="2" t="b">
        <v>0</v>
      </c>
      <c r="L15" s="2">
        <v>3</v>
      </c>
      <c r="M15" s="2">
        <v>0</v>
      </c>
      <c r="N15" s="2">
        <v>0</v>
      </c>
    </row>
    <row r="16" spans="1:15" ht="336" x14ac:dyDescent="0.25">
      <c r="A16" s="2" t="s">
        <v>44</v>
      </c>
      <c r="B16" s="2" t="s">
        <v>40</v>
      </c>
      <c r="C16" s="2" t="s">
        <v>45</v>
      </c>
      <c r="D16" s="2" t="s">
        <v>140</v>
      </c>
      <c r="E16" s="2">
        <v>1</v>
      </c>
      <c r="F16" s="2">
        <v>1</v>
      </c>
      <c r="G16" s="2">
        <v>1</v>
      </c>
      <c r="H16" s="2">
        <v>1</v>
      </c>
      <c r="I16" s="4">
        <v>1</v>
      </c>
      <c r="J16" s="2">
        <v>1</v>
      </c>
      <c r="K16" s="2" t="b">
        <v>0</v>
      </c>
      <c r="L16" s="2">
        <v>3</v>
      </c>
      <c r="M16" s="2">
        <v>0</v>
      </c>
      <c r="N16" s="2">
        <v>0</v>
      </c>
    </row>
    <row r="17" spans="1:14" ht="409.5" x14ac:dyDescent="0.25">
      <c r="A17" s="2" t="s">
        <v>46</v>
      </c>
      <c r="B17" s="2" t="s">
        <v>40</v>
      </c>
      <c r="C17" s="2" t="s">
        <v>47</v>
      </c>
      <c r="D17" s="2" t="s">
        <v>141</v>
      </c>
      <c r="E17" s="2">
        <v>0</v>
      </c>
      <c r="F17" s="2">
        <v>1</v>
      </c>
      <c r="G17" s="2">
        <v>1</v>
      </c>
      <c r="H17" s="2">
        <v>0.33333333333333331</v>
      </c>
      <c r="I17" s="4">
        <v>0.5</v>
      </c>
      <c r="J17" s="2">
        <v>0.66700000000000004</v>
      </c>
      <c r="K17" s="2" t="b">
        <v>0</v>
      </c>
      <c r="L17" s="2">
        <v>1</v>
      </c>
      <c r="M17" s="2">
        <v>0</v>
      </c>
      <c r="N17" s="2">
        <v>1</v>
      </c>
    </row>
    <row r="18" spans="1:14" ht="364" x14ac:dyDescent="0.25">
      <c r="A18" s="2" t="s">
        <v>48</v>
      </c>
      <c r="B18" s="2" t="s">
        <v>40</v>
      </c>
      <c r="C18" s="2" t="s">
        <v>49</v>
      </c>
      <c r="D18" s="2" t="s">
        <v>142</v>
      </c>
      <c r="E18" s="2">
        <v>1</v>
      </c>
      <c r="F18" s="2">
        <v>1</v>
      </c>
      <c r="G18" s="2">
        <v>1</v>
      </c>
      <c r="H18" s="2">
        <v>1</v>
      </c>
      <c r="I18" s="4">
        <v>1</v>
      </c>
      <c r="J18" s="2">
        <v>1</v>
      </c>
      <c r="K18" s="2" t="b">
        <v>0</v>
      </c>
      <c r="L18" s="2">
        <v>4</v>
      </c>
      <c r="M18" s="2">
        <v>0</v>
      </c>
      <c r="N18" s="2">
        <v>0</v>
      </c>
    </row>
    <row r="19" spans="1:14" ht="308" x14ac:dyDescent="0.25">
      <c r="A19" s="2" t="s">
        <v>50</v>
      </c>
      <c r="B19" s="2" t="s">
        <v>40</v>
      </c>
      <c r="C19" s="2" t="s">
        <v>51</v>
      </c>
      <c r="D19" s="2" t="s">
        <v>143</v>
      </c>
      <c r="E19" s="2">
        <v>0</v>
      </c>
      <c r="F19" s="2">
        <v>1</v>
      </c>
      <c r="G19" s="2">
        <v>1</v>
      </c>
      <c r="H19" s="2">
        <v>0.5</v>
      </c>
      <c r="I19" s="4">
        <v>1</v>
      </c>
      <c r="J19" s="2">
        <v>1</v>
      </c>
      <c r="K19" s="2" t="b">
        <v>0</v>
      </c>
      <c r="L19" s="2">
        <v>3</v>
      </c>
      <c r="M19" s="2">
        <v>0</v>
      </c>
      <c r="N19" s="2">
        <v>0</v>
      </c>
    </row>
    <row r="20" spans="1:14" ht="295" x14ac:dyDescent="0.25">
      <c r="A20" s="2" t="s">
        <v>123</v>
      </c>
      <c r="B20" s="2" t="s">
        <v>40</v>
      </c>
      <c r="C20" s="2" t="s">
        <v>52</v>
      </c>
      <c r="D20" s="2" t="s">
        <v>144</v>
      </c>
      <c r="E20" s="2">
        <v>1</v>
      </c>
      <c r="F20" s="2">
        <v>1</v>
      </c>
      <c r="G20" s="2">
        <v>1</v>
      </c>
      <c r="H20" s="2">
        <v>1</v>
      </c>
      <c r="I20" s="4">
        <v>1</v>
      </c>
      <c r="J20" s="2">
        <v>1</v>
      </c>
      <c r="K20" s="2" t="b">
        <v>0</v>
      </c>
      <c r="L20" s="2">
        <v>2</v>
      </c>
      <c r="M20" s="2">
        <v>0</v>
      </c>
      <c r="N20" s="2">
        <v>0</v>
      </c>
    </row>
    <row r="21" spans="1:14" ht="409.5" x14ac:dyDescent="0.25">
      <c r="A21" s="2" t="s">
        <v>53</v>
      </c>
      <c r="B21" s="2" t="s">
        <v>40</v>
      </c>
      <c r="C21" s="2" t="s">
        <v>54</v>
      </c>
      <c r="D21" s="2" t="s">
        <v>145</v>
      </c>
      <c r="E21" s="2">
        <v>1</v>
      </c>
      <c r="F21" s="2">
        <v>1</v>
      </c>
      <c r="G21" s="2">
        <v>1</v>
      </c>
      <c r="H21" s="2">
        <v>1</v>
      </c>
      <c r="I21" s="4">
        <v>1</v>
      </c>
      <c r="J21" s="2">
        <v>0.66700000000000004</v>
      </c>
      <c r="K21" s="2" t="b">
        <v>0</v>
      </c>
      <c r="L21" s="2">
        <v>1</v>
      </c>
      <c r="M21" s="2">
        <v>0</v>
      </c>
      <c r="N21" s="2">
        <v>1</v>
      </c>
    </row>
    <row r="22" spans="1:14" ht="409.5" x14ac:dyDescent="0.25">
      <c r="A22" s="2" t="s">
        <v>55</v>
      </c>
      <c r="B22" s="2" t="s">
        <v>40</v>
      </c>
      <c r="C22" s="2" t="s">
        <v>56</v>
      </c>
      <c r="D22" s="2" t="s">
        <v>146</v>
      </c>
      <c r="E22" s="2">
        <v>1</v>
      </c>
      <c r="F22" s="2">
        <v>1</v>
      </c>
      <c r="G22" s="2">
        <v>1</v>
      </c>
      <c r="H22" s="2">
        <v>1</v>
      </c>
      <c r="I22" s="4">
        <v>1</v>
      </c>
      <c r="J22" s="2">
        <v>1</v>
      </c>
      <c r="K22" s="2" t="b">
        <v>0</v>
      </c>
      <c r="L22" s="2">
        <v>3</v>
      </c>
      <c r="M22" s="2">
        <v>0</v>
      </c>
      <c r="N22" s="2">
        <v>0</v>
      </c>
    </row>
    <row r="23" spans="1:14" ht="266" x14ac:dyDescent="0.25">
      <c r="A23" s="2" t="s">
        <v>57</v>
      </c>
      <c r="B23" s="2" t="s">
        <v>40</v>
      </c>
      <c r="C23" s="2" t="s">
        <v>58</v>
      </c>
      <c r="D23" s="2" t="s">
        <v>147</v>
      </c>
      <c r="E23" s="2">
        <v>1</v>
      </c>
      <c r="F23" s="2">
        <v>1</v>
      </c>
      <c r="G23" s="2">
        <v>1</v>
      </c>
      <c r="H23" s="2">
        <v>1</v>
      </c>
      <c r="I23" s="4">
        <v>1</v>
      </c>
      <c r="J23" s="2">
        <v>1</v>
      </c>
      <c r="K23" s="2" t="b">
        <v>0</v>
      </c>
      <c r="L23" s="2">
        <v>2</v>
      </c>
      <c r="M23" s="2">
        <v>0</v>
      </c>
      <c r="N23" s="2">
        <v>0</v>
      </c>
    </row>
    <row r="24" spans="1:14" ht="252" x14ac:dyDescent="0.25">
      <c r="A24" s="2" t="s">
        <v>59</v>
      </c>
      <c r="B24" s="2" t="s">
        <v>40</v>
      </c>
      <c r="C24" s="2" t="s">
        <v>60</v>
      </c>
      <c r="D24" s="2" t="s">
        <v>148</v>
      </c>
      <c r="E24" s="2">
        <v>1</v>
      </c>
      <c r="F24" s="2">
        <v>1</v>
      </c>
      <c r="G24" s="2">
        <v>1</v>
      </c>
      <c r="H24" s="2">
        <v>1</v>
      </c>
      <c r="I24" s="4">
        <v>1</v>
      </c>
      <c r="J24" s="2">
        <v>1</v>
      </c>
      <c r="K24" s="2" t="b">
        <v>0</v>
      </c>
      <c r="L24" s="2">
        <v>1</v>
      </c>
      <c r="M24" s="2">
        <v>0</v>
      </c>
      <c r="N24" s="2">
        <v>0</v>
      </c>
    </row>
    <row r="25" spans="1:14" ht="280" x14ac:dyDescent="0.25">
      <c r="A25" s="2" t="s">
        <v>61</v>
      </c>
      <c r="B25" s="2" t="s">
        <v>62</v>
      </c>
      <c r="C25" s="2" t="s">
        <v>63</v>
      </c>
      <c r="D25" s="2" t="s">
        <v>149</v>
      </c>
      <c r="E25" s="2">
        <v>1</v>
      </c>
      <c r="F25" s="2">
        <v>1</v>
      </c>
      <c r="G25" s="2">
        <v>1</v>
      </c>
      <c r="H25" s="2">
        <v>1</v>
      </c>
      <c r="I25" s="4">
        <v>1</v>
      </c>
      <c r="J25" s="2">
        <v>1</v>
      </c>
      <c r="K25" s="2" t="b">
        <v>0</v>
      </c>
      <c r="L25" s="2">
        <v>2</v>
      </c>
      <c r="M25" s="2">
        <v>0</v>
      </c>
      <c r="N25" s="2">
        <v>0</v>
      </c>
    </row>
    <row r="26" spans="1:14" ht="280" x14ac:dyDescent="0.25">
      <c r="A26" s="2" t="s">
        <v>64</v>
      </c>
      <c r="B26" s="2" t="s">
        <v>62</v>
      </c>
      <c r="C26" s="2" t="s">
        <v>65</v>
      </c>
      <c r="D26" s="2" t="s">
        <v>150</v>
      </c>
      <c r="E26" s="2">
        <v>1</v>
      </c>
      <c r="F26" s="2">
        <v>1</v>
      </c>
      <c r="G26" s="2">
        <v>1</v>
      </c>
      <c r="H26" s="2">
        <v>1</v>
      </c>
      <c r="I26" s="4">
        <v>1</v>
      </c>
      <c r="J26" s="2">
        <v>1</v>
      </c>
      <c r="K26" s="2" t="b">
        <v>0</v>
      </c>
      <c r="L26" s="2">
        <v>1</v>
      </c>
      <c r="M26" s="2">
        <v>0</v>
      </c>
      <c r="N26" s="2">
        <v>0</v>
      </c>
    </row>
    <row r="27" spans="1:14" ht="409.5" x14ac:dyDescent="0.25">
      <c r="A27" s="2" t="s">
        <v>66</v>
      </c>
      <c r="B27" s="2" t="s">
        <v>62</v>
      </c>
      <c r="C27" s="2" t="s">
        <v>67</v>
      </c>
      <c r="D27" s="2" t="s">
        <v>151</v>
      </c>
      <c r="E27" s="2">
        <v>1</v>
      </c>
      <c r="F27" s="2">
        <v>1</v>
      </c>
      <c r="G27" s="2">
        <v>1</v>
      </c>
      <c r="H27" s="2">
        <v>1</v>
      </c>
      <c r="I27" s="4">
        <v>1</v>
      </c>
      <c r="J27" s="2">
        <v>0.66700000000000004</v>
      </c>
      <c r="K27" s="2" t="b">
        <v>0</v>
      </c>
      <c r="L27" s="2">
        <v>1</v>
      </c>
      <c r="M27" s="2">
        <v>0</v>
      </c>
      <c r="N27" s="2">
        <v>1</v>
      </c>
    </row>
    <row r="28" spans="1:14" ht="140" x14ac:dyDescent="0.25">
      <c r="A28" s="2" t="s">
        <v>68</v>
      </c>
      <c r="B28" s="2" t="s">
        <v>62</v>
      </c>
      <c r="C28" s="2" t="s">
        <v>69</v>
      </c>
      <c r="D28" s="2" t="s">
        <v>125</v>
      </c>
      <c r="E28" s="2">
        <v>1</v>
      </c>
      <c r="F28" s="2">
        <v>1</v>
      </c>
      <c r="G28" s="2">
        <v>1</v>
      </c>
      <c r="H28" s="2">
        <v>1</v>
      </c>
      <c r="I28" s="4">
        <v>1</v>
      </c>
      <c r="J28" s="2">
        <v>1</v>
      </c>
      <c r="K28" s="2" t="b">
        <v>0</v>
      </c>
      <c r="L28" s="2">
        <v>1</v>
      </c>
      <c r="M28" s="2">
        <v>0</v>
      </c>
      <c r="N28" s="2">
        <v>0</v>
      </c>
    </row>
    <row r="29" spans="1:14" ht="238" x14ac:dyDescent="0.25">
      <c r="A29" s="2" t="s">
        <v>70</v>
      </c>
      <c r="B29" s="2" t="s">
        <v>62</v>
      </c>
      <c r="C29" s="2" t="s">
        <v>71</v>
      </c>
      <c r="D29" s="2" t="s">
        <v>160</v>
      </c>
      <c r="E29" s="2">
        <v>1</v>
      </c>
      <c r="F29" s="2">
        <v>1</v>
      </c>
      <c r="G29" s="2">
        <v>1</v>
      </c>
      <c r="H29" s="2">
        <v>1</v>
      </c>
      <c r="I29" s="4">
        <v>1</v>
      </c>
      <c r="J29" s="2">
        <v>1</v>
      </c>
      <c r="K29" s="2" t="b">
        <v>0</v>
      </c>
      <c r="L29" s="2">
        <v>1</v>
      </c>
      <c r="M29" s="2">
        <v>0</v>
      </c>
      <c r="N29" s="2">
        <v>0</v>
      </c>
    </row>
    <row r="30" spans="1:14" ht="294" x14ac:dyDescent="0.25">
      <c r="A30" s="2" t="s">
        <v>72</v>
      </c>
      <c r="B30" s="2" t="s">
        <v>62</v>
      </c>
      <c r="C30" s="2" t="s">
        <v>73</v>
      </c>
      <c r="D30" s="2" t="s">
        <v>152</v>
      </c>
      <c r="E30" s="2">
        <v>1</v>
      </c>
      <c r="F30" s="2">
        <v>1</v>
      </c>
      <c r="G30" s="2">
        <v>1</v>
      </c>
      <c r="H30" s="2">
        <v>1</v>
      </c>
      <c r="I30" s="4">
        <v>1</v>
      </c>
      <c r="J30" s="2">
        <v>1</v>
      </c>
      <c r="K30" s="2" t="b">
        <v>0</v>
      </c>
      <c r="L30" s="2">
        <v>3</v>
      </c>
      <c r="M30" s="2">
        <v>0</v>
      </c>
      <c r="N30" s="2">
        <v>0</v>
      </c>
    </row>
    <row r="31" spans="1:14" ht="210" x14ac:dyDescent="0.25">
      <c r="A31" s="2" t="s">
        <v>74</v>
      </c>
      <c r="B31" s="2" t="s">
        <v>62</v>
      </c>
      <c r="C31" s="2" t="s">
        <v>75</v>
      </c>
      <c r="D31" s="2" t="s">
        <v>120</v>
      </c>
      <c r="E31" s="2">
        <v>1</v>
      </c>
      <c r="F31" s="2">
        <v>1</v>
      </c>
      <c r="G31" s="2">
        <v>1</v>
      </c>
      <c r="H31" s="2">
        <v>1</v>
      </c>
      <c r="I31" s="4">
        <v>1</v>
      </c>
      <c r="J31" s="2">
        <v>1</v>
      </c>
      <c r="K31" s="2" t="b">
        <v>0</v>
      </c>
      <c r="L31" s="2">
        <v>3</v>
      </c>
      <c r="M31" s="2">
        <v>0</v>
      </c>
      <c r="N31" s="2">
        <v>0</v>
      </c>
    </row>
    <row r="32" spans="1:14" ht="406" x14ac:dyDescent="0.25">
      <c r="A32" s="2" t="s">
        <v>76</v>
      </c>
      <c r="B32" s="2" t="s">
        <v>62</v>
      </c>
      <c r="C32" s="2" t="s">
        <v>77</v>
      </c>
      <c r="D32" s="2" t="s">
        <v>121</v>
      </c>
      <c r="E32" s="2">
        <v>1</v>
      </c>
      <c r="F32" s="2">
        <v>1</v>
      </c>
      <c r="G32" s="2">
        <v>1</v>
      </c>
      <c r="H32" s="2">
        <v>1</v>
      </c>
      <c r="I32" s="4">
        <v>1</v>
      </c>
      <c r="J32" s="2">
        <v>1</v>
      </c>
      <c r="K32" s="2" t="b">
        <v>0</v>
      </c>
      <c r="L32" s="2">
        <v>3</v>
      </c>
      <c r="M32" s="2">
        <v>0</v>
      </c>
      <c r="N32" s="2">
        <v>0</v>
      </c>
    </row>
    <row r="33" spans="1:15" ht="409.5" x14ac:dyDescent="0.25">
      <c r="A33" s="2" t="s">
        <v>78</v>
      </c>
      <c r="B33" s="2" t="s">
        <v>62</v>
      </c>
      <c r="C33" s="2" t="s">
        <v>79</v>
      </c>
      <c r="D33" s="2" t="s">
        <v>153</v>
      </c>
      <c r="E33" s="2">
        <v>1</v>
      </c>
      <c r="F33" s="2">
        <v>1</v>
      </c>
      <c r="G33" s="2">
        <v>1</v>
      </c>
      <c r="H33" s="2">
        <v>1</v>
      </c>
      <c r="I33" s="4">
        <v>1</v>
      </c>
      <c r="J33" s="2">
        <v>1</v>
      </c>
      <c r="K33" s="2" t="b">
        <v>0</v>
      </c>
      <c r="L33" s="2">
        <v>3</v>
      </c>
      <c r="M33" s="2">
        <v>0</v>
      </c>
      <c r="N33" s="2">
        <v>0</v>
      </c>
    </row>
    <row r="34" spans="1:15" ht="409.5" x14ac:dyDescent="0.25">
      <c r="A34" s="2" t="s">
        <v>80</v>
      </c>
      <c r="B34" s="2" t="s">
        <v>62</v>
      </c>
      <c r="C34" s="2" t="s">
        <v>81</v>
      </c>
      <c r="D34" s="2" t="s">
        <v>154</v>
      </c>
      <c r="E34" s="2">
        <v>1</v>
      </c>
      <c r="F34" s="2">
        <v>1</v>
      </c>
      <c r="G34" s="2">
        <v>1</v>
      </c>
      <c r="H34" s="2">
        <v>1</v>
      </c>
      <c r="I34" s="4">
        <v>1</v>
      </c>
      <c r="J34" s="2">
        <v>1</v>
      </c>
      <c r="K34" s="2" t="b">
        <v>0</v>
      </c>
      <c r="L34" s="2">
        <v>3</v>
      </c>
      <c r="M34" s="2">
        <v>0</v>
      </c>
      <c r="N34" s="2">
        <v>0</v>
      </c>
    </row>
    <row r="35" spans="1:15" ht="210" x14ac:dyDescent="0.25">
      <c r="A35" s="2" t="s">
        <v>82</v>
      </c>
      <c r="B35" s="2" t="s">
        <v>62</v>
      </c>
      <c r="C35" s="2" t="s">
        <v>83</v>
      </c>
      <c r="D35" s="2" t="s">
        <v>155</v>
      </c>
      <c r="E35" s="2">
        <v>1</v>
      </c>
      <c r="F35" s="2">
        <v>1</v>
      </c>
      <c r="G35" s="2">
        <v>1</v>
      </c>
      <c r="H35" s="2">
        <v>1</v>
      </c>
      <c r="I35" s="4">
        <v>1</v>
      </c>
      <c r="J35" s="2">
        <v>0.66700000000000004</v>
      </c>
      <c r="K35" s="2" t="b">
        <v>0</v>
      </c>
      <c r="L35" s="2">
        <v>1</v>
      </c>
      <c r="M35" s="2">
        <v>0</v>
      </c>
      <c r="N35" s="2">
        <v>1</v>
      </c>
    </row>
    <row r="36" spans="1:15" ht="308" x14ac:dyDescent="0.25">
      <c r="A36" s="2" t="s">
        <v>84</v>
      </c>
      <c r="B36" s="2" t="s">
        <v>85</v>
      </c>
      <c r="C36" s="2" t="s">
        <v>86</v>
      </c>
      <c r="D36" s="2" t="s">
        <v>126</v>
      </c>
      <c r="E36" s="2">
        <v>0</v>
      </c>
      <c r="F36" s="2">
        <v>1</v>
      </c>
      <c r="G36" s="2">
        <v>1</v>
      </c>
      <c r="H36" s="2">
        <v>0.5</v>
      </c>
      <c r="I36" s="4">
        <v>1</v>
      </c>
      <c r="J36" s="2">
        <v>1</v>
      </c>
      <c r="K36" s="2" t="b">
        <v>0</v>
      </c>
      <c r="L36" s="2">
        <v>2</v>
      </c>
      <c r="M36" s="2">
        <v>0</v>
      </c>
      <c r="N36" s="2">
        <v>0</v>
      </c>
    </row>
    <row r="37" spans="1:15" ht="409.5" x14ac:dyDescent="0.25">
      <c r="A37" s="2" t="s">
        <v>87</v>
      </c>
      <c r="B37" s="2" t="s">
        <v>85</v>
      </c>
      <c r="C37" s="2" t="s">
        <v>88</v>
      </c>
      <c r="D37" s="2" t="s">
        <v>156</v>
      </c>
      <c r="E37" s="2">
        <v>0</v>
      </c>
      <c r="F37" s="2">
        <v>1</v>
      </c>
      <c r="G37" s="2">
        <v>1</v>
      </c>
      <c r="H37" s="2">
        <v>0.5</v>
      </c>
      <c r="I37" s="4">
        <v>1</v>
      </c>
      <c r="J37" s="2">
        <v>1</v>
      </c>
      <c r="K37" s="2" t="b">
        <v>0</v>
      </c>
      <c r="L37" s="2">
        <v>2</v>
      </c>
      <c r="M37" s="2">
        <v>0</v>
      </c>
      <c r="N37" s="2">
        <v>0</v>
      </c>
    </row>
    <row r="38" spans="1:15" ht="409.5" x14ac:dyDescent="0.25">
      <c r="A38" s="2" t="s">
        <v>89</v>
      </c>
      <c r="B38" s="2" t="s">
        <v>85</v>
      </c>
      <c r="C38" s="2" t="s">
        <v>90</v>
      </c>
      <c r="D38" s="2" t="s">
        <v>157</v>
      </c>
      <c r="E38" s="2">
        <v>0</v>
      </c>
      <c r="F38" s="2">
        <v>0</v>
      </c>
      <c r="G38" s="2">
        <v>0</v>
      </c>
      <c r="H38" s="2">
        <v>0</v>
      </c>
      <c r="I38" s="4">
        <v>0.66700000000000004</v>
      </c>
      <c r="J38" s="2">
        <v>0.66700000000000004</v>
      </c>
      <c r="K38" s="2" t="b">
        <v>0</v>
      </c>
      <c r="L38" s="2">
        <v>2</v>
      </c>
      <c r="M38" s="2">
        <v>1</v>
      </c>
      <c r="N38" s="2">
        <v>1</v>
      </c>
    </row>
    <row r="39" spans="1:15" s="5" customFormat="1" ht="154" x14ac:dyDescent="0.25">
      <c r="A39" s="5" t="s">
        <v>91</v>
      </c>
      <c r="B39" s="5" t="s">
        <v>85</v>
      </c>
      <c r="C39" s="5" t="s">
        <v>92</v>
      </c>
      <c r="D39" s="5" t="s">
        <v>93</v>
      </c>
      <c r="E39" s="5">
        <v>0</v>
      </c>
      <c r="F39" s="5">
        <v>0</v>
      </c>
      <c r="G39" s="5">
        <v>1</v>
      </c>
      <c r="H39" s="5">
        <v>0.25</v>
      </c>
      <c r="I39" s="5">
        <v>0</v>
      </c>
      <c r="J39" s="5">
        <v>0</v>
      </c>
      <c r="K39" s="5" t="b">
        <v>0</v>
      </c>
      <c r="L39" s="5">
        <v>0</v>
      </c>
      <c r="M39" s="5">
        <v>0</v>
      </c>
      <c r="N39" s="5">
        <v>2</v>
      </c>
    </row>
    <row r="40" spans="1:15" ht="378" x14ac:dyDescent="0.25">
      <c r="A40" s="2" t="s">
        <v>94</v>
      </c>
      <c r="B40" s="2" t="s">
        <v>85</v>
      </c>
      <c r="C40" s="2" t="s">
        <v>95</v>
      </c>
      <c r="D40" s="2" t="s">
        <v>127</v>
      </c>
      <c r="E40" s="2">
        <v>1</v>
      </c>
      <c r="F40" s="2">
        <v>1</v>
      </c>
      <c r="G40" s="2">
        <v>1</v>
      </c>
      <c r="H40" s="2">
        <v>1</v>
      </c>
      <c r="I40" s="4">
        <v>1</v>
      </c>
      <c r="J40" s="2">
        <v>0.57099999999999995</v>
      </c>
      <c r="K40" s="2" t="b">
        <v>0</v>
      </c>
      <c r="L40" s="2">
        <v>2</v>
      </c>
      <c r="M40" s="2">
        <v>1</v>
      </c>
      <c r="N40" s="2">
        <v>2</v>
      </c>
    </row>
    <row r="41" spans="1:15" ht="409.5" x14ac:dyDescent="0.25">
      <c r="A41" s="2" t="s">
        <v>96</v>
      </c>
      <c r="B41" s="2" t="s">
        <v>85</v>
      </c>
      <c r="C41" s="2" t="s">
        <v>97</v>
      </c>
      <c r="D41" s="2" t="s">
        <v>158</v>
      </c>
      <c r="E41" s="2">
        <v>1</v>
      </c>
      <c r="F41" s="2">
        <v>1</v>
      </c>
      <c r="G41" s="2">
        <v>1</v>
      </c>
      <c r="H41" s="2">
        <v>1</v>
      </c>
      <c r="I41" s="4">
        <v>0.66700000000000004</v>
      </c>
      <c r="J41" s="2">
        <v>0.8</v>
      </c>
      <c r="K41" s="2" t="b">
        <v>0</v>
      </c>
      <c r="L41" s="2">
        <v>2</v>
      </c>
      <c r="M41" s="2">
        <v>0</v>
      </c>
      <c r="N41" s="2">
        <v>1</v>
      </c>
    </row>
    <row r="42" spans="1:15" ht="409.5" x14ac:dyDescent="0.25">
      <c r="A42" s="2" t="s">
        <v>98</v>
      </c>
      <c r="B42" s="2" t="s">
        <v>85</v>
      </c>
      <c r="C42" s="2" t="s">
        <v>99</v>
      </c>
      <c r="D42" s="2" t="s">
        <v>159</v>
      </c>
      <c r="E42" s="2">
        <v>0</v>
      </c>
      <c r="F42" s="2">
        <v>1</v>
      </c>
      <c r="G42" s="2">
        <v>1</v>
      </c>
      <c r="H42" s="2">
        <v>0.33333333333333331</v>
      </c>
      <c r="I42" s="4">
        <v>0.66700000000000004</v>
      </c>
      <c r="J42" s="2">
        <v>0.88900000000000001</v>
      </c>
      <c r="K42" s="2" t="b">
        <v>0</v>
      </c>
      <c r="L42" s="2">
        <v>4</v>
      </c>
      <c r="M42" s="2">
        <v>0</v>
      </c>
      <c r="N42" s="2">
        <v>1</v>
      </c>
    </row>
    <row r="43" spans="1:15" ht="409.5" x14ac:dyDescent="0.25">
      <c r="A43" s="2" t="s">
        <v>100</v>
      </c>
      <c r="B43" s="2" t="s">
        <v>85</v>
      </c>
      <c r="C43" s="2" t="s">
        <v>101</v>
      </c>
      <c r="D43" s="2" t="s">
        <v>124</v>
      </c>
      <c r="E43" s="2">
        <v>0</v>
      </c>
      <c r="F43" s="2">
        <v>0</v>
      </c>
      <c r="G43" s="2">
        <v>1</v>
      </c>
      <c r="H43" s="2">
        <v>0.25</v>
      </c>
      <c r="I43" s="4">
        <v>0.33329999999999999</v>
      </c>
      <c r="J43" s="2">
        <v>1</v>
      </c>
      <c r="K43" s="2" t="b">
        <v>0</v>
      </c>
      <c r="L43" s="2">
        <v>2</v>
      </c>
      <c r="M43" s="2">
        <v>0</v>
      </c>
      <c r="N43" s="2">
        <v>0</v>
      </c>
    </row>
    <row r="44" spans="1:15" ht="56" x14ac:dyDescent="0.25">
      <c r="A44" s="2" t="s">
        <v>102</v>
      </c>
      <c r="B44" s="2" t="s">
        <v>103</v>
      </c>
      <c r="C44" s="2" t="s">
        <v>104</v>
      </c>
      <c r="D44" s="2" t="s">
        <v>93</v>
      </c>
      <c r="J44" s="2">
        <v>1</v>
      </c>
      <c r="K44" s="2" t="b">
        <v>1</v>
      </c>
      <c r="L44" s="2">
        <v>1</v>
      </c>
      <c r="M44" s="2">
        <v>0</v>
      </c>
      <c r="N44" s="2">
        <v>0</v>
      </c>
      <c r="O44" s="2" t="b">
        <v>1</v>
      </c>
    </row>
    <row r="45" spans="1:15" ht="70" x14ac:dyDescent="0.25">
      <c r="A45" s="2" t="s">
        <v>105</v>
      </c>
      <c r="B45" s="2" t="s">
        <v>103</v>
      </c>
      <c r="C45" s="2" t="s">
        <v>104</v>
      </c>
      <c r="D45" s="2" t="s">
        <v>93</v>
      </c>
      <c r="J45" s="2">
        <v>1</v>
      </c>
      <c r="K45" s="2" t="b">
        <v>1</v>
      </c>
      <c r="L45" s="2">
        <v>1</v>
      </c>
      <c r="M45" s="2">
        <v>0</v>
      </c>
      <c r="N45" s="2">
        <v>0</v>
      </c>
      <c r="O45" s="2" t="b">
        <v>1</v>
      </c>
    </row>
    <row r="46" spans="1:15" ht="42" x14ac:dyDescent="0.25">
      <c r="A46" s="2" t="s">
        <v>106</v>
      </c>
      <c r="B46" s="2" t="s">
        <v>103</v>
      </c>
      <c r="C46" s="2" t="s">
        <v>104</v>
      </c>
      <c r="D46" s="2" t="s">
        <v>93</v>
      </c>
      <c r="J46" s="2">
        <v>1</v>
      </c>
      <c r="K46" s="2" t="b">
        <v>1</v>
      </c>
      <c r="L46" s="2">
        <v>1</v>
      </c>
      <c r="M46" s="2">
        <v>0</v>
      </c>
      <c r="N46" s="2">
        <v>0</v>
      </c>
      <c r="O46" s="2" t="b">
        <v>1</v>
      </c>
    </row>
    <row r="47" spans="1:15" ht="84" x14ac:dyDescent="0.25">
      <c r="A47" s="2" t="s">
        <v>107</v>
      </c>
      <c r="B47" s="2" t="s">
        <v>103</v>
      </c>
      <c r="C47" s="2" t="s">
        <v>104</v>
      </c>
      <c r="D47" s="2" t="s">
        <v>93</v>
      </c>
      <c r="J47" s="2">
        <v>1</v>
      </c>
      <c r="K47" s="2" t="b">
        <v>1</v>
      </c>
      <c r="L47" s="2">
        <v>1</v>
      </c>
      <c r="M47" s="2">
        <v>0</v>
      </c>
      <c r="N47" s="2">
        <v>0</v>
      </c>
      <c r="O47" s="2" t="b">
        <v>1</v>
      </c>
    </row>
    <row r="48" spans="1:15" ht="42" x14ac:dyDescent="0.25">
      <c r="A48" s="2" t="s">
        <v>108</v>
      </c>
      <c r="B48" s="2" t="s">
        <v>103</v>
      </c>
      <c r="C48" s="2" t="s">
        <v>104</v>
      </c>
      <c r="D48" s="2" t="s">
        <v>93</v>
      </c>
      <c r="J48" s="2">
        <v>1</v>
      </c>
      <c r="K48" s="2" t="b">
        <v>1</v>
      </c>
      <c r="L48" s="2">
        <v>1</v>
      </c>
      <c r="M48" s="2">
        <v>0</v>
      </c>
      <c r="N48" s="2">
        <v>0</v>
      </c>
      <c r="O48" s="2" t="b">
        <v>1</v>
      </c>
    </row>
    <row r="49" spans="1:15" ht="56" x14ac:dyDescent="0.25">
      <c r="A49" s="2" t="s">
        <v>109</v>
      </c>
      <c r="B49" s="2" t="s">
        <v>103</v>
      </c>
      <c r="C49" s="2" t="s">
        <v>104</v>
      </c>
      <c r="D49" s="2" t="s">
        <v>93</v>
      </c>
      <c r="J49" s="2">
        <v>1</v>
      </c>
      <c r="K49" s="2" t="b">
        <v>1</v>
      </c>
      <c r="L49" s="2">
        <v>1</v>
      </c>
      <c r="M49" s="2">
        <v>0</v>
      </c>
      <c r="N49" s="2">
        <v>0</v>
      </c>
      <c r="O49" s="2" t="b">
        <v>1</v>
      </c>
    </row>
    <row r="50" spans="1:15" ht="56" x14ac:dyDescent="0.25">
      <c r="A50" s="2" t="s">
        <v>110</v>
      </c>
      <c r="B50" s="2" t="s">
        <v>103</v>
      </c>
      <c r="C50" s="2" t="s">
        <v>104</v>
      </c>
      <c r="D50" s="2" t="s">
        <v>93</v>
      </c>
      <c r="J50" s="2">
        <v>1</v>
      </c>
      <c r="K50" s="2" t="b">
        <v>1</v>
      </c>
      <c r="L50" s="2">
        <v>1</v>
      </c>
      <c r="M50" s="2">
        <v>0</v>
      </c>
      <c r="N50" s="2">
        <v>0</v>
      </c>
      <c r="O50" s="2" t="b">
        <v>1</v>
      </c>
    </row>
    <row r="51" spans="1:15" ht="56" x14ac:dyDescent="0.25">
      <c r="A51" s="2" t="s">
        <v>111</v>
      </c>
      <c r="B51" s="2" t="s">
        <v>103</v>
      </c>
      <c r="C51" s="2" t="s">
        <v>104</v>
      </c>
      <c r="D51" s="2" t="s">
        <v>93</v>
      </c>
      <c r="J51" s="2">
        <v>1</v>
      </c>
      <c r="K51" s="2" t="b">
        <v>1</v>
      </c>
      <c r="L51" s="2">
        <v>1</v>
      </c>
      <c r="M51" s="2">
        <v>0</v>
      </c>
      <c r="N51" s="2">
        <v>0</v>
      </c>
      <c r="O51" s="2" t="b">
        <v>1</v>
      </c>
    </row>
    <row r="53" spans="1:15" x14ac:dyDescent="0.25">
      <c r="A53" s="2" t="s">
        <v>112</v>
      </c>
      <c r="E53" s="2">
        <f>AVERAGEIFS(E2:E51,K2:K51,FALSE)</f>
        <v>0.7857142857142857</v>
      </c>
      <c r="F53" s="2">
        <f>AVERAGEIFS(F2:F51,K2:K51,FALSE)</f>
        <v>0.9285714285714286</v>
      </c>
      <c r="G53" s="2">
        <f>AVERAGEIFS(G2:G51,K2:K51,FALSE)</f>
        <v>0.97619047619047616</v>
      </c>
      <c r="H53" s="2">
        <f>AVERAGEIFS(H2:H51,K2:K51,FALSE)</f>
        <v>0.8571428571428571</v>
      </c>
      <c r="I53" s="4">
        <f>AVERAGEIFS(I2:I51,K2:K51,FALSE)</f>
        <v>0.91272142857142868</v>
      </c>
      <c r="J53" s="2">
        <f>AVERAGE(J2:J51)</f>
        <v>0.91000000000000014</v>
      </c>
      <c r="L53" s="2">
        <f>AVERAGE(L2:L51)</f>
        <v>1.92</v>
      </c>
      <c r="M53" s="2">
        <f>AVERAGE(M2:M51)</f>
        <v>0.04</v>
      </c>
      <c r="N53" s="2">
        <f>AVERAGE(N2:N51)</f>
        <v>0.32</v>
      </c>
    </row>
    <row r="54" spans="1:15" x14ac:dyDescent="0.25">
      <c r="A54" s="2" t="s">
        <v>113</v>
      </c>
      <c r="B54" s="2" t="s">
        <v>15</v>
      </c>
      <c r="E54" s="2">
        <f>AVERAGEIFS(E2:E51,B2:B51,"定义类",K2:K51,FALSE)</f>
        <v>0.91666666666666663</v>
      </c>
      <c r="F54" s="2">
        <f>AVERAGEIFS(F2:F51,B2:B51,"定义类",K2:K51,FALSE)</f>
        <v>1</v>
      </c>
      <c r="G54" s="2">
        <f>AVERAGEIFS(G2:G51,B2:B51,"定义类",K2:K51,FALSE)</f>
        <v>1</v>
      </c>
      <c r="H54" s="2">
        <f>AVERAGEIFS(H2:H51,B2:B51,"定义类",K2:K51,FALSE)</f>
        <v>0.94444444444444431</v>
      </c>
      <c r="I54" s="4">
        <f>AVERAGEIFS(I2:I51,B2:B51,"定义类",K2:K51,FALSE)</f>
        <v>1</v>
      </c>
      <c r="J54" s="2">
        <f>AVERAGEIF(B2:B51,"定义类",J2:J51)</f>
        <v>0.90874999999999995</v>
      </c>
      <c r="L54" s="2">
        <f>AVERAGEIF(B2:B51,"定义类",L2:L51)</f>
        <v>2.1666666666666665</v>
      </c>
      <c r="M54" s="2">
        <f>AVERAGEIF(B2:B51,"定义类",M2:M51)</f>
        <v>0</v>
      </c>
      <c r="N54" s="2">
        <f>AVERAGEIF(B2:B51,"定义类",N2:N51)</f>
        <v>0.41666666666666669</v>
      </c>
    </row>
    <row r="55" spans="1:15" ht="28" x14ac:dyDescent="0.25">
      <c r="A55" s="2" t="s">
        <v>114</v>
      </c>
      <c r="B55" s="2" t="s">
        <v>40</v>
      </c>
      <c r="E55" s="2">
        <f>AVERAGEIFS(E2:E51,B2:B51,"方法细节类",K2:K51,FALSE)</f>
        <v>0.81818181818181823</v>
      </c>
      <c r="F55" s="2">
        <f>AVERAGEIFS(F2:F51,B2:B51,"方法细节类",K2:K51,FALSE)</f>
        <v>1</v>
      </c>
      <c r="G55" s="2">
        <f>AVERAGEIFS(G2:G51,B2:B51,"方法细节类",K2:K51,FALSE)</f>
        <v>1</v>
      </c>
      <c r="H55" s="2">
        <f>AVERAGEIFS(H2:H51,B2:B51,"方法细节类",K2:K51,FALSE)</f>
        <v>0.89393939393939403</v>
      </c>
      <c r="I55" s="4">
        <f>AVERAGEIFS(I2:I51,B2:B51,"方法细节类",K2:K51,FALSE)</f>
        <v>0.90909090909090906</v>
      </c>
      <c r="J55" s="2">
        <f>AVERAGEIF(B2:B51,"方法细节类",J2:J51)</f>
        <v>0.93945454545454543</v>
      </c>
      <c r="L55" s="2">
        <f>AVERAGEIF(B2:B51,"方法细节类",L2:L51)</f>
        <v>2.1818181818181817</v>
      </c>
      <c r="M55" s="2">
        <f>AVERAGEIF(B2:B51,"方法细节类",M2:M51)</f>
        <v>0</v>
      </c>
      <c r="N55" s="2">
        <f>AVERAGEIF(B2:B51,"方法细节类",N2:N51)</f>
        <v>0.18181818181818182</v>
      </c>
    </row>
    <row r="56" spans="1:15" ht="28" x14ac:dyDescent="0.25">
      <c r="A56" s="2" t="s">
        <v>115</v>
      </c>
      <c r="B56" s="2" t="s">
        <v>62</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1</v>
      </c>
      <c r="J56" s="2">
        <f>AVERAGEIF(B2:B51,"实验结果类",J2:J51)</f>
        <v>0.93945454545454543</v>
      </c>
      <c r="L56" s="2">
        <f>AVERAGEIF(B2:B51,"实验结果类",L2:L51)</f>
        <v>2</v>
      </c>
      <c r="M56" s="2">
        <f>AVERAGEIF(B2:B51,"实验结果类",M2:M51)</f>
        <v>0</v>
      </c>
      <c r="N56" s="2">
        <f>AVERAGEIF(B2:B51,"实验结果类",N2:N51)</f>
        <v>0.18181818181818182</v>
      </c>
    </row>
    <row r="57" spans="1:15" ht="28" x14ac:dyDescent="0.25">
      <c r="A57" s="2" t="s">
        <v>116</v>
      </c>
      <c r="B57" s="2" t="s">
        <v>85</v>
      </c>
      <c r="E57" s="2">
        <f>AVERAGEIFS(E2:E51,B2:B51,"跨论文比较类",K2:K51,FALSE)</f>
        <v>0.25</v>
      </c>
      <c r="F57" s="2">
        <f>AVERAGEIFS(F2:F51,B2:B51,"跨论文比较类",K2:K51,FALSE)</f>
        <v>0.625</v>
      </c>
      <c r="G57" s="2">
        <f>AVERAGEIFS(G2:G51,B2:B51,"跨论文比较类",K2:K51,FALSE)</f>
        <v>0.875</v>
      </c>
      <c r="H57" s="2">
        <f>AVERAGEIFS(H2:H51,B2:B51,"跨论文比较类",K2:K51,FALSE)</f>
        <v>0.47916666666666669</v>
      </c>
      <c r="I57" s="4">
        <f>AVERAGEIFS(I2:I51,B2:B51,"跨论文比较类",K2:K51,FALSE)</f>
        <v>0.66678749999999998</v>
      </c>
      <c r="J57" s="2">
        <f>AVERAGEIF(B2:B51,"跨论文比较类",J2:J51)</f>
        <v>0.74087499999999995</v>
      </c>
      <c r="L57" s="2">
        <f>AVERAGEIF(B2:B51,"跨论文比较类",L2:L51)</f>
        <v>2</v>
      </c>
      <c r="M57" s="2">
        <f>AVERAGEIF(B2:B51,"跨论文比较类",M2:M51)</f>
        <v>0.25</v>
      </c>
      <c r="N57" s="2">
        <f>AVERAGEIF(B2:B51,"跨论文比较类",N2:N51)</f>
        <v>0.875</v>
      </c>
    </row>
    <row r="58" spans="1:15" ht="28" x14ac:dyDescent="0.25">
      <c r="A58" s="2" t="s">
        <v>117</v>
      </c>
      <c r="B58" s="2" t="s">
        <v>103</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2026-06-03T01:00:50Z</dcterms:created>
  <dcterms:modified xsi:type="dcterms:W3CDTF">2026-06-09T13:27:52Z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896efcad-a75d-4180-81c1-cde87ce13c38</vt:lpwstr>
  </property>
</Properties>
</file>