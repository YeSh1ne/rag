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8FFD4868-4DB0-4A52-AD08-278D77D57317}"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<sst xmlns="http://schemas.openxmlformats.org/spreadsheetml/2006/main" count="226" uniqueCount="161">
  <si>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</si>
  <si>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</si>
  <si>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</si>
  <si>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</si>
  <si>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</si>
  <si>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</si>
  <si>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</si>
  <si>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</si>
  <si>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</si>
  <si>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</si>
  <si>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</si>
  <si>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</si>
  <si>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</si>
  <si>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</si>
  <si>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</si>
  <si>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</si>
  <si>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</si>
  <si>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作者将post-training scaling分为三个主要方法：监督微调（Supervised Fine-tuning, SFT）、强化学习（Reinforcement Learning, RL）和测试时计算（Test-time Compute, TTC）。
来自: [2025.acl-long.140_A Survey of Post-Training Scaling in Large Language Models, 第2页, 2025.acl-long.140_A Survey of Post-Training Scaling in Large Language Models_chunk_008]</t>
  </si>
  <si>
    <t>在SafeRAG中"silver noise"的定义是什么？</t>
  </si>
  <si>
    <t>首先，我们定义了“银色噪声”，它指的是仅部分包含答案的证据文本。此类噪声能够绕过大多数安全过滤机制，从而削弱 RAG 的多样性。</t>
  </si>
  <si>
    <t>Silver noise是指部分包含答案的证据。
来自: [2025.acl-long.230_SafeRAG, 第2页, 2025.acl-long.230_SafeRAG_chunk_007]</t>
  </si>
  <si>
    <t>RAG噪声被分为哪两类？</t>
  </si>
  <si>
    <t>RAG噪声被分为有益噪声和有害噪声。</t>
  </si>
  <si>
    <t>RAG噪声被分为有益噪声和有害噪声两类。
来自: [2025.acl-long.250_Pandora s Box or Aladdin s Lamp, 第2页, 2025.acl-long.250_Pandora s Box or Aladdin s Lamp_chunk_006]</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</si>
  <si>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</si>
  <si>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</si>
  <si>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Ref-Long是一个专门设计用于评估长上下文语言模型的长上下文引用能力的基准。
来自: [2025.acl-long.1162_Ref-Long, 第1页, 2025.acl-long.1162_Ref-Long_chunk_001]</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</si>
  <si>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</si>
  <si>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</si>
  <si>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SYNQA是一种生成式方法，给定选定的上下文句子，由大语言模型生成完全由这些句子支持的问答对。
来自: [2025.acl-long.828_On Synthesizing Data for Context Attribution in Question Answering, 第2页, 2025.acl-long.828_On Synthesizing Data for Context Attribution in Question Answering_chunk_009]</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</si>
  <si>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</si>
  <si>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</si>
  <si>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AgenticLU是一个通过将目标自澄清与上下文接地整合到智能体工作流中来增强大语言模型对长上下文查询理解的框架。
来自: [2025.acl-long.275_Self-Taught Agentic Long Context Understanding, 第1页, 2025.acl-long.275_Self-Taught Agentic Long Context Understanding_chunk_001]</t>
  </si>
  <si>
    <t>什么是Agentic Reasoning框架?</t>
  </si>
  <si>
    <t>Agentic Reasoning是一个通过集成外部工具使用代理来增强大型语言模型推理的框架。</t>
  </si>
  <si>
    <t>Agentic Reasoning 是一个通过将外部基于LLM的智能体作为工具集成到推理过程中，从而增强大语言模型推理能力的框架。
来自: [2025.acl-long.1383_Agentic Reasoning, 第2页, 2025.acl-long.1383_Agentic Reasoning_chunk_008]</t>
  </si>
  <si>
    <t>REAL-MM-RAG 基准测试旨在解决现实世界检索的四个关键属性是什么？</t>
  </si>
  <si>
    <t xml:space="preserve"> REAL-MM-RAG基准测试的四个关键属性是：(i) 多模态文档，(ii) 增强的难度，(iii) 真实的RAG查询，(iv) 准确的标注。</t>
  </si>
  <si>
    <t>REAL-MM-RAG 基准测试旨在解决的四个关键属性是：(i) 多模态文档（包含文本、图表、表格等视觉元素）；(ii) 增强难度（需要超越简单关键词匹配，在上下文相似的页面中进行挑战性评估）；(iii) 真实 RAG 查询（问题自然提出，不显式引用页面，反映真实检索场景）；(iv) 准确标注（所有相关文档必须被正确且穷尽地标注，以避免低估检索性能并防止假阴性）。
来自: [2025.acl-long.1528_REAL-MM-RAG, 第1页, 2025.acl-long.1528_REAL-MM-RAG_chunk_003]</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</si>
  <si>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</si>
  <si>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</si>
  <si>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RAG是一种新颖的检索增强生成方法，旨在对不完美的检索增强具有鲁棒性，同时保留可靠检索时的 grounding 效果。它用于缓解不完美检索增强的影响，解决LLM内部知识与外部知识之间的冲突，从而生成更准确可靠的响应。
来自: [2025.acl-long.1476_Astute RAG, 第2页, 2025.acl-long.1476_Astute RAG_chunk_007] 和 [2025.acl-long.1476_Astute RAG, 第4页, 2025.acl-long.1476_Astute RAG_chunk_016]</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</si>
  <si>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</si>
  <si>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</si>
  <si>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L-CiteEval是一个开箱即用的评估套件，包含多任务长上下文基准和相应的评估流程。
来自: [2025.acl-long.263_L-CiteEval, 第8页, 2025.acl-long.263_L-CiteEval_chunk_056]</t>
  </si>
  <si>
    <t xml:space="preserve"> LongBench v2基准测试包含多少个问题？上下文长度范围是多少？</t>
  </si>
  <si>
    <t>LongBench v2包含503个具有挑战性的多项选择题，上下文长度范围从8,000到200万个单词。</t>
  </si>
  <si>
    <t>LongBench v2 包含 503 个多项选择题，上下文长度范围从 8k 到 2M 词。
来自: [2025.acl-long.183_LongBench v2, 第1页, 2025.acl-long.183_LongBench v2_chunk_004]</t>
  </si>
  <si>
    <t>RHIO框架的三个主要组成部分是什么？</t>
  </si>
  <si>
    <t>RHIO框架包含三个主要组件：1.不忠实数据增强, 2.忠实度感知调优, 3.自诱导解码</t>
  </si>
  <si>
    <t>RHIO框架的三个主要组成部分是：不忠实数据增强（unfaithful data augmentation）、忠实性感知调优（faithfulness-aware tuning）和自诱导解码（self-induced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Optimization_chunk_065]</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</si>
  <si>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</si>
  <si>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</si>
  <si>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</si>
  <si>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作者发现使用标准的短上下文指令数据集（如Ultra-Chat）就足以在长上下文任务上取得良好性能，而长合成指令数据不会进一步提升性能。
来自: [2025.acl-long.366_How to Train Long-Context Language Models (Effectively), 第2页, 2025.acl-long.366_How to Train Long-Context Language Models (Effectively)_chunk_006]</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</si>
  <si>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</si>
  <si>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</si>
  <si>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知识整合过程包含三个主要步骤：合并一致信息、识别冲突信息、过滤无关信息。
来自: [2025.acl-long.1476_Astute RAG, 第2页, 2025.acl-long.1476_Astute RAG_chunk_007] 和 [2025.acl-long.1476_Astute RAG, 第16页, 2025.acl-long.1476_Astute RAG_chunk_046]</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</si>
  <si>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</si>
  <si>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</si>
  <si>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LongRefiner 将推理过程拆分为离线和在线两个阶段：离线阶段预先对语料库中的文档执行层次化结构处理，在线阶段仅需对用户查询进行分析并完成自适应精炼，从而大幅减少在线处理的输入和输出 token 数量，使整体延迟降至标准设置的约 25%。
来自: [2025.acl-long.176_Hierarchical Document Refinement for Long-context Retrieval-augmented Generation, 第6页, 2025.acl-long.176_Hierarchical Document Refinement for Long-context Retrieval-augmented Generation_chunk_030]</t>
  </si>
  <si>
    <t>DRAG框架如何保护用户隐私？请描述其隐私保护机制。</t>
  </si>
  <si>
    <t>DRAG通过传输去标识化的查询和结构化知识而不是完整响应来保护用户隐私。这样可以避免传输完整的用户查询和敏感信息。</t>
  </si>
  <si>
    <t>DRAG框架通过本地模型在将查询上传到云端之前重新表述或剥离敏感信息，确保隐私数据不离开本地；云端模型仅处理清理后的查询并返回证据和知识图谱，本地模型再生成最终答案。
来自: [2025.acl-long.358_DRAG, 第1页, 2025.acl-long.358_DRAG_chunk_004]
来自: [2025.acl-long.358_DRAG, 第5页, 2025.acl-long.358_DRAG_chunk_025]</t>
  </si>
  <si>
    <t>简述 Think&amp; Cite 框架中 SG-MCTS 的工作流程及其步骤。</t>
  </si>
  <si>
    <t>SG-MCTS利用LLMs的自反思能力来推理MCTS的中间状态，以指导树扩展过程。在每次迭代中，SG-MCTS 遵循四个步骤，即选择、反思引导的扩展、评估和反向传播。</t>
  </si>
  <si>
    <t>SG-MCTS 在每次迭代中依次执行四个步骤：选择（selection）、反思引导的扩展（reflection-guided expansion）、评估（evaluation）和反向传播（backpropagation）。
来自: [2025.acl-long.490_Think&amp;Cite, 第3页, 2025.acl-long.490_Think&amp;Cite_chunk_014]</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</si>
  <si>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</si>
  <si>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</si>
  <si>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的段落选择提示引导的三个关键步骤是：(1) 列举回答查询所需的关键信息需求；(2) 为每个需求识别包含相关信息的段落；(3) 选择一组段落，这些段落共同提供最全面和多样化的覆盖，以有效回答查询。
来自: [2025.acl-long.861_Shifting from Ranking to Set Selection for Retrieval Augmented Generation, 第4页, 2025.acl-long.861_Shifting from Ranking to Set Selection for Retrieval Augmented Generation_chunk_015]</t>
  </si>
  <si>
    <t>Meta-Bench基准测试中，α参数的最优范围是多少？这个参数的作用是什么？</t>
  </si>
  <si>
    <t>α参数的最优范围在0.65到0.8之间。这个参数用于平衡工具描述和参数描述在工具检索中的权重。</t>
  </si>
  <si>
    <t>在Meta-Tool中，α参数的最优范围是0.65到0.8。它的作用是平衡工具描述和参数描述在工具检索中的权重，以优化检索性能。
来自: [2025.acl-long.1481_Meta-Tool, 第20页, 2025.acl-long.1481_Meta-Tool_chunk_071]</t>
  </si>
  <si>
    <t>CypherBench 是如何从 RDF 图生成领域特定属性图的？</t>
  </si>
  <si>
    <t>CypherBench 通过将 RDF 图转换为多个领域特定的属性图（domain-specific property graphs）来实现这一过程，并使用 Cypher 语言对其进行查询。</t>
  </si>
  <si>
    <t>CypherBench 通过定义领域特定的模式（schema），并利用 RDF 到属性图的转换层，将 RDF 数据转换为多个领域特定的属性图视图。转换层负责数据类型转换和单位标准化，生成模式强制、严格类型化的数据；每个属性图视图包含所有符合其各自模式的数据。
来自: [2025.acl-long.438_CypherBench, 第4页, 2025.acl-long.438_CypherBench_chunk_016][2025.acl-long.438_CypherBench, 第4页, 2025.acl-long.438_CypherBench_chunk_017]</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</si>
  <si>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</si>
  <si>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</si>
  <si>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为：第一阶段从医疗笔记中蒸馏理由，使小语言模型建立对文本临床信息的基础理解；第二阶段引入知识增强注意力，将数值实验室测试与结构化医学知识对齐，蒸馏基于实验室测试的理由；第三阶段完全整合文本和数值输入，使小语言模型生成临床连贯的多模态理由以支持疾病诊断。
来自: [2025.acl-long.540_Knowledge-Augmented Multimodal Clinical Rationale Generation for Disease Diagnosis with Small Language Models, 第4页, 2025.acl-long.540_Knowledge-Augmented Multimodal Clinical Rationale Generation for Disease Diagnosis with Small Language Models_chunk_016]</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</si>
  <si>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</si>
  <si>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</si>
  <si>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QAEncoder通过为每个文档生成多样化的查询来创建语义对齐的嵌入，并采用文档指纹策略确保文档可区分性，从而弥合文档-查询差距。
来自: [2025.acl-long.217_QAEncoder, 第5页, 2025.acl-long.217_QAEncoder_chunk_019]</t>
  </si>
  <si>
    <t>在 HALOGEN 的文本简化任务中，如何验证模型生成的简化文本是否忠实于原文？</t>
  </si>
  <si>
    <t>先用 GPT-3.5-turbo 将简化文本分解为独立的原子事实，再用 Llama-2-70B-chat 判断每个原子事实是否被原文蕴含。</t>
  </si>
  <si>
    <t>在HALOGEN的文本简化任务中，验证模型生成简化文本忠实性的方法是：先使用GPT-3.5将简化文本分解为独立事实，然后使用Llama-2-70B判断每个原子事实是否由原文蕴含。
来自: [2025.acl-long.71_HALoGEN, 第3页, 2025.acl-long.71_HALoGEN_chunk_017]</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</si>
  <si>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</si>
  <si>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</si>
  <si>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</si>
  <si>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scenario下，GPT-4o是表现最好的模型，Llama-3-70B则与GPT-4o-mini水平相当；而在Full scenario下，Llama-3-70B的表现优于GPT-4o，取得了最佳性能。
来自: [2025.acl-long.1574_CiteEval, 第8页, 2025.acl-long.1574_CiteEval_chunk_041]</t>
  </si>
  <si>
    <t>"FaithfulRAG"在FaithEval数据集上使用Mistral-7B作为backbone时的准确率是多少？相比最强基线提高了多少？</t>
  </si>
  <si>
    <t>81.7%，比最强基线(KRE的73.2%)提高了8.5%。</t>
  </si>
  <si>
    <t>在FaithEval数据集上，以Mistral-7B为backbone的FaithfulRAG准确率为81.7%，相比最强基线（KRE的73.2%）提高了8.5%。
来自: [2025.acl-long.1062_FaithfulRAG, 第7页, 2025.acl-long.1062_FaithfulRAG_chunk_037]</t>
  </si>
  <si>
    <t>RankCoT 相对于 vanilla RAG 模型的表现如何？这说明了什么？</t>
  </si>
  <si>
    <t>RankCoT 相比 vanilla RAG 模型有 2.5% 的提升，表明它在提供更有意义的细化方面有效，有助于 LLM 更好地回答问题。</t>
  </si>
  <si>
    <t>RankCoT 在 Has-Answer 场景中优于所有知识精炼模型，在 Miss-Answer 场景中相比 vanilla RAG 表现出最显著的性能提升，在内部知识冲突场景中也优于 vanilla RAG。这说明 RankCoT 能有效整合查询相关信息、过滤噪声文档的误导、缓解知识冲突，并帮助 RAG 系统保持答案一致性。
来自: [2025.acl-long.629_RankCoT, 第7页, 2025.acl-long.629_RankCoT_chunk_045] 和 [2025.acl-long.629_RankCoT, 第12页, 2025.acl-long.629_RankCoT_chunk_056]</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</si>
  <si>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</si>
  <si>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</si>
  <si>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 生成事实的幻觉率范围是 3% 到 86%，具体取决于任务领域。
来自: [2025.acl-long.71_HALoGEN, 第1页, 2025.acl-long.71_HALoGEN_chunk_004]</t>
  </si>
  <si>
    <t xml:space="preserve"> 在LongBench v2基准测试中，人类专家在15分钟时间限制下的准确率是多少？</t>
  </si>
  <si>
    <t>人类专家在15分钟时间限制下的准确率为53.7%。</t>
  </si>
  <si>
    <t>人类专家在15分钟时间限制下的准确率为53.7%。
来自: [2025.acl-long.183_LongBench v2, 第1页, 2025.acl-long.183_LongBench v2_chunk_001]</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</si>
  <si>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</si>
  <si>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</si>
  <si>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AGENTSTAR在WebShop、ALFWorld和BabyAI任务上的表现分别比GPT-4-Turbo高出61.00、20.50和9.87个点。
来自: [2025.acl-long.1355_AgentGym, 第7页, 2025.acl-long.1355_AgentGym_chunk_045]</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</si>
  <si>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</si>
  <si>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</si>
  <si>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在Humanity's Last Exam上，Agentic Reasoning结合DeepSeek-R1相比基础模型实现了14.4%的性能提升，与OpenAI Deep Research的差距缩小至仅2.8%。
来自: [2025.acl-long.1383_Agentic Reasoning, 第1页, 2025.acl-long.1383_Agentic Reasoning_chunk_004]</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</si>
  <si>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</si>
  <si>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</si>
  <si>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1上达到74.36%，Level 2上达到69.21%，Level 3上达到45.46%，平均66.13%。它在所有公开方法中取得了最高水平，并在Level 1和Level 2上超越了OpenAI Deep Research，在Level 3上的差距缩小至2.26%。
来自: [2025.acl-long.1383_Agentic Reasoning, 第5页, 2025.acl-long.1383_Agentic Reasoning_chunk_023]（具体分数）
来自: [2025.acl-long.1383_Agentic Reasoning, 第5页, 2025.acl-long.1383_Agentic Reasoning_chunk_022]（与OpenAI Deep Research的比较）</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</si>
  <si>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</si>
  <si>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</si>
  <si>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人类医生在所有专科的诊断准确率上均超越Med-MLLMs，平均准确率在0.538至0.641之间，而所有Med-MLLMs的平均准确率均低于此范围。其中GPT-4V表现最接近人类医生，准确率为54.3%，但仍低于初级医生的57.4%。此外，Med-MLLMs在不同专科间的表现变异性明显低于人类医生。
来自: [2025.acl-long.1178_Asclepius, 第7页, 2025.acl-long.1178_Asclepius_chunk_032]
来自: [2025.acl-long.1178_Asclepius, 第15页, 2025.acl-long.1178_Asclepius_chunk_048]
来自: [2025.acl-long.1178_Asclepius, 第7页, 2025.acl-long.1178_Asclepius_chunk_029]</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</si>
  <si>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</si>
  <si>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</si>
  <si>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在LongDocURL基准测试中，GPT-4o取得了64.5的最高分，是唯一达到及格标准的模型。开源模型表现明显较弱，最好的开源模型Qwen2-VL仅得30.6分，LLaVA-OneVision分别得到22.0和25.0分，其余开源模型得分均低于20。
来自: [2025.acl-long.57_LongDocURL, 第2页, 2025.acl-long.57_LongDocURL_chunk_007]
来自: [2025.acl-long.57_LongDocURL, 第6页, 2025.acl-long.57_LongDocURL_chunk_026]</t>
  </si>
  <si>
    <t>RAGEval 提出的自动评估指标与人工评估的一致性如何？</t>
  </si>
  <si>
    <t>实验结果表明，RAGEval 的机器自动评估与人工评估在所有指标上均表现出高度一致性。两者之间的最终绝对差异仅为 1.67%。</t>
  </si>
  <si>
    <t>RAGEval 使用 LLM 对提出的指标进行评分，与人工评估表现出高度一致性。
来自: [2025.acl-long.418_RAGEval, 第1页, 2025.acl-long.418_RAGEval_chunk_001]</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</si>
  <si>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</si>
  <si>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</si>
  <si>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</si>
  <si>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《Astute RAG》采用自适应引出（adaptively elicits）机制来提取大模型内部知识；《FaithfulRAG》则通过 Self-Fact Mining 模块将模型的参数化知识具体化为事实层面的内部知识。
来自: [2025.acl-long.1476_Astute RAG, 第1页, 2025.acl-long.1476_Astute RAG_chunk_001] 和 [2025.acl-long.1062_FaithfulRAG, 第9页, 2025.acl-long.1062_FaithfulRAG_chunk_050]</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</si>
  <si>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</si>
  <si>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</si>
  <si>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 的核心创新在于构建统一的查询理解框架，将查询增强与编码集成到单一模型中，通过自适应选择增强策略和对比学习来提升查询理解和检索准确性。FaithfulRAG 的核心创新则聚焦于从查询中挖掘模型自身的参数知识（Self‑Fact Mining），将其具体化为事实并与检索上下文对齐，进而在事实层面识别和解决知识冲突，从而深化对查询的语义理解。
来自: [2025.acl-long.693_UniRAG, 第9页, 2025.acl-long.693_UniRAG_chunk_042]
来自: [2025.acl-long.1062_FaithfulRAG, 第4页, 2025.acl-long.1062_FaithfulRAG_chunk_015]
来自: [2025.acl-long.1062_FaithfulRAG, 第9页, 2025.acl-long.1062_FaithfulRAG_chunk_050]</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</si>
  <si>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</si>
  <si>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</si>
  <si>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面向RAG系统的多语言基准，但评估维度不同。MEMERAG聚焦于生成内容的评估，通过人类专家对每个生成句子标注忠实度（faithfulness）和相关性（relevance），形成一个元评估基准，用于衡量自动评估器与人类判断的相关性。DragonBall则聚焦于检索阶段的性能，主要评估召回率（Recall）和EIR等检索指标。两者的共同点在于都支持多语言场景：MEMERAG覆盖5种语言，DragonBall包含中英文数据。
来自: [2025.acl-long.1101_MEMERAG, 第3页, 2025.acl-long.1101_MEMERAG_chunk_014]；[2025.acl-long.418_RAGEval, 第4页, 2025.acl-long.418_RAGEval_chunk_018]；[2025.acl-long.418_RAGEval, 第17页, 2025.acl-long.418_RAGEval_chunk_064]</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</si>
  <si>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</si>
  <si>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</si>
  <si>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根据已有信息，无法回答此问题。</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</si>
  <si>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</si>
  <si>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</si>
  <si>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是一个静态的基准测试，用于评估大语言模型在长上下文（8k–2M词）下的深度理解与推理能力，覆盖单文档问答、多文档问答等真实场景。AGENTGYM 则是一个交互式框架，提供14种环境，支持对通用大语言模型代理进行训练和评估，强调多环境下的交互探索与学习。
来自: [2025.acl-long.183_LongBench v2, 第1页, 2025.acl-long.183_LongBench v2_chunk_001]  
来自: [2025.acl-long.1355_AgentGym, 第1页, 2025.acl-long.1355_AgentGym_chunk_004]</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</si>
  <si>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</si>
  <si>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</si>
  <si>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Agentic Reasoning 的核心机制是将外部基于 LLM 的智能体（Agent）作为工具集成到推理过程中，通过委托 Web-Search、Code 和 Mind-Map 等辅助智能体来增强问题解决能力。  
AR-MCTS 的核心机制是将主动检索（Active Retrieval）与蒙特卡洛树搜索（MCTS）相结合，自动获取高质量的逐步推理标注，并逐步对齐过程奖励模型（PRM）以实现过程级的多模态推理验证。
来自: [2025.acl-long.1383_Agentic Reasoning, 第2页, 2025.acl-long.1383_Agentic Reasoning_chunk_008]  
来自: [2025.acl-long.180_Progressive Multimodal Reasoning via Active Retrieval, 第1页, 2025.acl-long.180_Progressive Multimodal Reasoning via Active Retrieval_chunk_000]  
来自: [2025.acl-long.180_Progressive Multimodal Reasoning via Active Retrieval, 第9页, 2025.acl-long.180_Progressive Multimodal Reasoning via Active Retrieval_chunk_047]</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</si>
  <si>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</si>
  <si>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</si>
  <si>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MAIN‑RAG 采用训练无关的多智能体协同过滤方法，通过多个 LLM 智能体对检索文档进行评分与过滤，并自适应调整相关性阈值，以共识驱动策略筛选高质量文档来提升可靠性。  
RAG‑Critic 采用批评引导的智能体工作流方法，先构建层次化 RAG 错误系统并训练错误批评模型，再根据细粒度错误反馈自动定制纠正方案，实现错误驱动的自主修正来提升可靠性。
来自: [2025.acl-long.131_MAIN-RAG, 第1页, 2025.acl-long.131_MAIN-RAG_chunk_006]  
来自: [2025.acl-long.179_RAG-Critic, 第8页, 2025.acl-long.179_RAG-Critic_chunk_040]  
来自: [2025.acl-long.179_RAG-Critic, 第9页, 2025.acl-long.179_RAG-Critic_chunk_047]</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</si>
  <si>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</si>
  <si>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</si>
  <si>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 侧重于优化检索阶段，其核心痛点是文档与查询之间的语义差距（document-query gap），即用户查询与待检索文档在词汇、句法、语义等维度上的不匹配问题。  
On Synthesizing Data for Context Attribution in Question Answering 则侧重于生成后的归因阶段，其核心痛点是上下文归因（context attribution）问题，即如何让模型在给出答案的同时，准确指出答案所依据的支持性句子或证据。
来自: [2025.acl-long.217_QAEncoder, 第2页, 2025.acl-long.217_QAEncoder_chunk_007]  
来自: [2025.acl-long.217_QAEncoder, 第1页, 2025.acl-long.217_QAEncoder_chunk_002]  
来自: [2025.acl-long.828_On Synthesizing Data for Context Attribution in Question Answering, 第17页, 2025.acl-long.828_On Synthesizing Data for Context Attribution in Question Answering_chunk_071]</t>
  </si>
  <si>
    <t>这10篇论文中哪一篇提出了名为"RAG-Guard"的安全防护框架？</t>
  </si>
  <si>
    <t>不可回答类</t>
  </si>
  <si>
    <t>无法回答。</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</si>
  <si>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</si>
  <si>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</si>
  <si>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</si>
  <si>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</si>
  <si>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</si>
  <si>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</si>
  <si>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</si>
  <si>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</si>
  <si>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</si>
  <si>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</si>
  <si>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</si>
  <si>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</si>
  <si>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</si>
  <si>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question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</si>
</sst>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3"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39" workbookViewId="0">
      <selection activeCell="L39" sqref="L39"/>
    </sheetView>
  </sheetViews>
  <sheetFormatPr defaultRowHeight="14" x14ac:dyDescent="0.25"/>
  <cols>
    <col min="1" max="4" width="19.81640625" style="2" customWidth="1"/>
    <col min="5" max="8" width="8.7265625" style="2"/>
    <col min="9" max="9" width="8.7265625" style="4"/>
    <col min="10" max="16384" width="8.7265625" style="2"/>
  </cols>
  <sheetData>
    <row r="1" spans="1:15" ht="42" x14ac:dyDescent="0.25">
      <c r="A1" s="1" t="s">
        <v>160</v>
      </c>
      <c r="B1" s="1" t="s">
        <v>0</v>
      </c>
      <c r="C1" s="1" t="s">
        <v>1</v>
      </c>
      <c r="D1" s="1" t="s">
        <v>2</v>
      </c>
      <c r="E1" s="1" t="s">
        <v>3</v>
      </c>
      <c r="F1" s="1" t="s">
        <v>4</v>
      </c>
      <c r="G1" s="1" t="s">
        <v>5</v>
      </c>
      <c r="H1" s="1" t="s">
        <v>6</v>
      </c>
      <c r="I1" s="3" t="s">
        <v>7</v>
      </c>
      <c r="J1" s="1" t="s">
        <v>8</v>
      </c>
      <c r="K1" s="1" t="s">
        <v>9</v>
      </c>
      <c r="L1" s="1" t="s">
        <v>10</v>
      </c>
      <c r="M1" s="1" t="s">
        <v>11</v>
      </c>
      <c r="N1" s="1" t="s">
        <v>12</v>
      </c>
      <c r="O1" s="1" t="s">
        <v>13</v>
      </c>
    </row>
    <row r="2" spans="1:15" ht="409.5" x14ac:dyDescent="0.25">
      <c r="A2" s="2" t="s">
        <v>14</v>
      </c>
      <c r="B2" s="2" t="s">
        <v>15</v>
      </c>
      <c r="C2" s="2" t="s">
        <v>16</v>
      </c>
      <c r="D2" s="2" t="s">
        <v>17</v>
      </c>
      <c r="E2" s="2">
        <v>1</v>
      </c>
      <c r="F2" s="2">
        <v>1</v>
      </c>
      <c r="G2" s="2">
        <v>1</v>
      </c>
      <c r="H2" s="2">
        <v>1</v>
      </c>
      <c r="I2" s="4">
        <v>1</v>
      </c>
      <c r="J2" s="2">
        <v>1</v>
      </c>
      <c r="K2" s="2" t="b">
        <v>0</v>
      </c>
      <c r="L2" s="2">
        <v>3</v>
      </c>
      <c r="M2" s="2">
        <v>0</v>
      </c>
      <c r="N2" s="2">
        <v>0</v>
      </c>
    </row>
    <row r="3" spans="1:15" ht="238" x14ac:dyDescent="0.25">
      <c r="A3" s="2" t="s">
        <v>18</v>
      </c>
      <c r="B3" s="2" t="s">
        <v>15</v>
      </c>
      <c r="C3" s="2" t="s">
        <v>19</v>
      </c>
      <c r="D3" s="2" t="s">
        <v>20</v>
      </c>
      <c r="E3" s="2">
        <v>1</v>
      </c>
      <c r="F3" s="2">
        <v>1</v>
      </c>
      <c r="G3" s="2">
        <v>1</v>
      </c>
      <c r="H3" s="2">
        <v>1</v>
      </c>
      <c r="I3" s="4">
        <v>1</v>
      </c>
      <c r="J3" s="2">
        <v>1</v>
      </c>
      <c r="K3" s="2" t="b">
        <v>0</v>
      </c>
      <c r="L3" s="2">
        <v>1</v>
      </c>
      <c r="M3" s="2">
        <v>0</v>
      </c>
      <c r="N3" s="2">
        <v>0</v>
      </c>
    </row>
    <row r="4" spans="1:15" ht="322" x14ac:dyDescent="0.25">
      <c r="A4" s="2" t="s">
        <v>21</v>
      </c>
      <c r="B4" s="2" t="s">
        <v>15</v>
      </c>
      <c r="C4" s="2" t="s">
        <v>22</v>
      </c>
      <c r="D4" s="2" t="s">
        <v>23</v>
      </c>
      <c r="E4" s="2">
        <v>1</v>
      </c>
      <c r="F4" s="2">
        <v>1</v>
      </c>
      <c r="G4" s="2">
        <v>1</v>
      </c>
      <c r="H4" s="2">
        <v>1</v>
      </c>
      <c r="I4" s="4">
        <v>1</v>
      </c>
      <c r="J4" s="2">
        <v>1</v>
      </c>
      <c r="K4" s="2" t="b">
        <v>0</v>
      </c>
      <c r="L4" s="2">
        <v>1</v>
      </c>
      <c r="M4" s="2">
        <v>0</v>
      </c>
      <c r="N4" s="2">
        <v>0</v>
      </c>
    </row>
    <row r="5" spans="1:15" ht="336" x14ac:dyDescent="0.25">
      <c r="A5" s="2" t="s">
        <v>24</v>
      </c>
      <c r="B5" s="2" t="s">
        <v>15</v>
      </c>
      <c r="C5" s="2" t="s">
        <v>25</v>
      </c>
      <c r="D5" s="2" t="s">
        <v>26</v>
      </c>
      <c r="E5" s="2">
        <v>1</v>
      </c>
      <c r="F5" s="2">
        <v>1</v>
      </c>
      <c r="G5" s="2">
        <v>1</v>
      </c>
      <c r="H5" s="2">
        <v>1</v>
      </c>
      <c r="I5" s="4">
        <v>1</v>
      </c>
      <c r="J5" s="2">
        <v>0.66700000000000004</v>
      </c>
      <c r="K5" s="2" t="b">
        <v>0</v>
      </c>
      <c r="L5" s="2">
        <v>1</v>
      </c>
      <c r="M5" s="2">
        <v>0</v>
      </c>
      <c r="N5" s="2">
        <v>1</v>
      </c>
    </row>
    <row r="6" spans="1:15" ht="409.5" x14ac:dyDescent="0.25">
      <c r="A6" s="2" t="s">
        <v>27</v>
      </c>
      <c r="B6" s="2" t="s">
        <v>15</v>
      </c>
      <c r="C6" s="2" t="s">
        <v>28</v>
      </c>
      <c r="D6" s="2" t="s">
        <v>29</v>
      </c>
      <c r="E6" s="2">
        <v>0</v>
      </c>
      <c r="F6" s="2">
        <v>1</v>
      </c>
      <c r="G6" s="2">
        <v>1</v>
      </c>
      <c r="H6" s="2">
        <v>0.33333333333333331</v>
      </c>
      <c r="I6" s="4">
        <v>0</v>
      </c>
      <c r="J6" s="2">
        <v>0.85699999999999998</v>
      </c>
      <c r="K6" s="2" t="b">
        <v>0</v>
      </c>
      <c r="L6" s="2">
        <v>3</v>
      </c>
      <c r="M6" s="2">
        <v>0</v>
      </c>
      <c r="N6" s="2">
        <v>1</v>
      </c>
    </row>
    <row r="7" spans="1:15" ht="409.5" x14ac:dyDescent="0.25">
      <c r="A7" s="2" t="s">
        <v>30</v>
      </c>
      <c r="B7" s="2" t="s">
        <v>15</v>
      </c>
      <c r="C7" s="2" t="s">
        <v>31</v>
      </c>
      <c r="D7" s="2" t="s">
        <v>32</v>
      </c>
      <c r="E7" s="2">
        <v>1</v>
      </c>
      <c r="F7" s="2">
        <v>1</v>
      </c>
      <c r="G7" s="2">
        <v>1</v>
      </c>
      <c r="H7" s="2">
        <v>1</v>
      </c>
      <c r="I7" s="4">
        <v>1</v>
      </c>
      <c r="J7" s="2">
        <v>0.66700000000000004</v>
      </c>
      <c r="K7" s="2" t="b">
        <v>0</v>
      </c>
      <c r="L7" s="2">
        <v>1</v>
      </c>
      <c r="M7" s="2">
        <v>0</v>
      </c>
      <c r="N7" s="2">
        <v>1</v>
      </c>
    </row>
    <row r="8" spans="1:15" ht="409.5" x14ac:dyDescent="0.25">
      <c r="A8" s="2" t="s">
        <v>33</v>
      </c>
      <c r="B8" s="2" t="s">
        <v>15</v>
      </c>
      <c r="C8" s="2" t="s">
        <v>34</v>
      </c>
      <c r="D8" s="2" t="s">
        <v>35</v>
      </c>
      <c r="E8" s="2">
        <v>1</v>
      </c>
      <c r="F8" s="2">
        <v>1</v>
      </c>
      <c r="G8" s="2">
        <v>1</v>
      </c>
      <c r="H8" s="2">
        <v>1</v>
      </c>
      <c r="I8" s="4">
        <v>1</v>
      </c>
      <c r="J8" s="2">
        <v>1</v>
      </c>
      <c r="K8" s="2" t="b">
        <v>0</v>
      </c>
      <c r="L8" s="2">
        <v>1</v>
      </c>
      <c r="M8" s="2">
        <v>0</v>
      </c>
      <c r="N8" s="2">
        <v>0</v>
      </c>
    </row>
    <row r="9" spans="1:15" ht="409.5" x14ac:dyDescent="0.25">
      <c r="A9" s="2" t="s">
        <v>36</v>
      </c>
      <c r="B9" s="2" t="s">
        <v>15</v>
      </c>
      <c r="C9" s="2" t="s">
        <v>37</v>
      </c>
      <c r="D9" s="2" t="s">
        <v>38</v>
      </c>
      <c r="E9" s="2">
        <v>1</v>
      </c>
      <c r="F9" s="2">
        <v>1</v>
      </c>
      <c r="G9" s="2">
        <v>1</v>
      </c>
      <c r="H9" s="2">
        <v>1</v>
      </c>
      <c r="I9" s="4">
        <v>1</v>
      </c>
      <c r="J9" s="2">
        <v>1</v>
      </c>
      <c r="K9" s="2" t="b">
        <v>0</v>
      </c>
      <c r="L9" s="2">
        <v>4</v>
      </c>
      <c r="M9" s="2">
        <v>0</v>
      </c>
      <c r="N9" s="2">
        <v>0</v>
      </c>
    </row>
    <row r="10" spans="1:15" ht="409.5" x14ac:dyDescent="0.25">
      <c r="A10" s="2" t="s">
        <v>39</v>
      </c>
      <c r="B10" s="2" t="s">
        <v>15</v>
      </c>
      <c r="C10" s="2" t="s">
        <v>40</v>
      </c>
      <c r="D10" s="2" t="s">
        <v>41</v>
      </c>
      <c r="E10" s="2">
        <v>1</v>
      </c>
      <c r="F10" s="2">
        <v>1</v>
      </c>
      <c r="G10" s="2">
        <v>1</v>
      </c>
      <c r="H10" s="2">
        <v>1</v>
      </c>
      <c r="I10" s="4">
        <v>1</v>
      </c>
      <c r="J10" s="2">
        <v>0.85699999999999998</v>
      </c>
      <c r="K10" s="2" t="b">
        <v>0</v>
      </c>
      <c r="L10" s="2">
        <v>3</v>
      </c>
      <c r="M10" s="2">
        <v>0</v>
      </c>
      <c r="N10" s="2">
        <v>1</v>
      </c>
    </row>
    <row r="11" spans="1:15" ht="409.5" x14ac:dyDescent="0.25">
      <c r="A11" s="2" t="s">
        <v>42</v>
      </c>
      <c r="B11" s="2" t="s">
        <v>15</v>
      </c>
      <c r="C11" s="2" t="s">
        <v>43</v>
      </c>
      <c r="D11" s="2" t="s">
        <v>44</v>
      </c>
      <c r="E11" s="2">
        <v>1</v>
      </c>
      <c r="F11" s="2">
        <v>1</v>
      </c>
      <c r="G11" s="2">
        <v>1</v>
      </c>
      <c r="H11" s="2">
        <v>1</v>
      </c>
      <c r="I11" s="4">
        <v>1</v>
      </c>
      <c r="J11" s="2">
        <v>0.85699999999999998</v>
      </c>
      <c r="K11" s="2" t="b">
        <v>0</v>
      </c>
      <c r="L11" s="2">
        <v>3</v>
      </c>
      <c r="M11" s="2">
        <v>0</v>
      </c>
      <c r="N11" s="2">
        <v>1</v>
      </c>
    </row>
    <row r="12" spans="1:15" ht="322" x14ac:dyDescent="0.25">
      <c r="A12" s="2" t="s">
        <v>45</v>
      </c>
      <c r="B12" s="2" t="s">
        <v>15</v>
      </c>
      <c r="C12" s="2" t="s">
        <v>46</v>
      </c>
      <c r="D12" s="2" t="s">
        <v>47</v>
      </c>
      <c r="E12" s="2">
        <v>1</v>
      </c>
      <c r="F12" s="2">
        <v>1</v>
      </c>
      <c r="G12" s="2">
        <v>1</v>
      </c>
      <c r="H12" s="2">
        <v>1</v>
      </c>
      <c r="I12" s="4">
        <v>1</v>
      </c>
      <c r="J12" s="2">
        <v>1</v>
      </c>
      <c r="K12" s="2" t="b">
        <v>0</v>
      </c>
      <c r="L12" s="2">
        <v>2</v>
      </c>
      <c r="M12" s="2">
        <v>0</v>
      </c>
      <c r="N12" s="2">
        <v>0</v>
      </c>
    </row>
    <row r="13" spans="1:15" ht="409.5" x14ac:dyDescent="0.25">
      <c r="A13" s="2" t="s">
        <v>48</v>
      </c>
      <c r="B13" s="2" t="s">
        <v>15</v>
      </c>
      <c r="C13" s="2" t="s">
        <v>49</v>
      </c>
      <c r="D13" s="2" t="s">
        <v>50</v>
      </c>
      <c r="E13" s="2">
        <v>1</v>
      </c>
      <c r="F13" s="2">
        <v>1</v>
      </c>
      <c r="G13" s="2">
        <v>1</v>
      </c>
      <c r="H13" s="2">
        <v>1</v>
      </c>
      <c r="I13" s="4">
        <v>1</v>
      </c>
      <c r="J13" s="2">
        <v>1</v>
      </c>
      <c r="K13" s="2" t="b">
        <v>0</v>
      </c>
      <c r="L13" s="2">
        <v>3</v>
      </c>
      <c r="M13" s="2">
        <v>0</v>
      </c>
      <c r="N13" s="2">
        <v>0</v>
      </c>
    </row>
    <row r="14" spans="1:15" ht="252" x14ac:dyDescent="0.25">
      <c r="A14" s="2" t="s">
        <v>51</v>
      </c>
      <c r="B14" s="2" t="s">
        <v>52</v>
      </c>
      <c r="C14" s="2" t="s">
        <v>53</v>
      </c>
      <c r="D14" s="2" t="s">
        <v>54</v>
      </c>
      <c r="E14" s="2">
        <v>1</v>
      </c>
      <c r="F14" s="2">
        <v>1</v>
      </c>
      <c r="G14" s="2">
        <v>1</v>
      </c>
      <c r="H14" s="2">
        <v>1</v>
      </c>
      <c r="I14" s="4">
        <v>1</v>
      </c>
      <c r="J14" s="2">
        <v>1</v>
      </c>
      <c r="K14" s="2" t="b">
        <v>0</v>
      </c>
      <c r="L14" s="2">
        <v>1</v>
      </c>
      <c r="M14" s="2">
        <v>0</v>
      </c>
      <c r="N14" s="2">
        <v>0</v>
      </c>
    </row>
    <row r="15" spans="1:15" ht="224" x14ac:dyDescent="0.25">
      <c r="A15" s="2" t="s">
        <v>55</v>
      </c>
      <c r="B15" s="2" t="s">
        <v>52</v>
      </c>
      <c r="C15" s="2" t="s">
        <v>56</v>
      </c>
      <c r="D15" s="2" t="s">
        <v>57</v>
      </c>
      <c r="E15" s="2">
        <v>1</v>
      </c>
      <c r="F15" s="2">
        <v>1</v>
      </c>
      <c r="G15" s="2">
        <v>1</v>
      </c>
      <c r="H15" s="2">
        <v>1</v>
      </c>
      <c r="I15" s="4">
        <v>0.5</v>
      </c>
      <c r="J15" s="2">
        <v>1</v>
      </c>
      <c r="K15" s="2" t="b">
        <v>0</v>
      </c>
      <c r="L15" s="2">
        <v>3</v>
      </c>
      <c r="M15" s="2">
        <v>0</v>
      </c>
      <c r="N15" s="2">
        <v>0</v>
      </c>
    </row>
    <row r="16" spans="1:15" ht="409.5" x14ac:dyDescent="0.25">
      <c r="A16" s="2" t="s">
        <v>58</v>
      </c>
      <c r="B16" s="2" t="s">
        <v>52</v>
      </c>
      <c r="C16" s="2" t="s">
        <v>59</v>
      </c>
      <c r="D16" s="2" t="s">
        <v>60</v>
      </c>
      <c r="E16" s="2">
        <v>1</v>
      </c>
      <c r="F16" s="2">
        <v>1</v>
      </c>
      <c r="G16" s="2">
        <v>1</v>
      </c>
      <c r="H16" s="2">
        <v>1</v>
      </c>
      <c r="I16" s="4">
        <v>1</v>
      </c>
      <c r="J16" s="2">
        <v>1</v>
      </c>
      <c r="K16" s="2" t="b">
        <v>0</v>
      </c>
      <c r="L16" s="2">
        <v>3</v>
      </c>
      <c r="M16" s="2">
        <v>0</v>
      </c>
      <c r="N16" s="2">
        <v>0</v>
      </c>
    </row>
    <row r="17" spans="1:14" ht="409.5" x14ac:dyDescent="0.25">
      <c r="A17" s="2" t="s">
        <v>61</v>
      </c>
      <c r="B17" s="2" t="s">
        <v>52</v>
      </c>
      <c r="C17" s="2" t="s">
        <v>62</v>
      </c>
      <c r="D17" s="2" t="s">
        <v>63</v>
      </c>
      <c r="E17" s="2">
        <v>0</v>
      </c>
      <c r="F17" s="2">
        <v>1</v>
      </c>
      <c r="G17" s="2">
        <v>1</v>
      </c>
      <c r="H17" s="2">
        <v>0.33333333333333331</v>
      </c>
      <c r="I17" s="4">
        <v>0.5</v>
      </c>
      <c r="J17" s="2">
        <v>0.66700000000000004</v>
      </c>
      <c r="K17" s="2" t="b">
        <v>0</v>
      </c>
      <c r="L17" s="2">
        <v>1</v>
      </c>
      <c r="M17" s="2">
        <v>0</v>
      </c>
      <c r="N17" s="2">
        <v>1</v>
      </c>
    </row>
    <row r="18" spans="1:14" ht="409.5" x14ac:dyDescent="0.25">
      <c r="A18" s="2" t="s">
        <v>64</v>
      </c>
      <c r="B18" s="2" t="s">
        <v>52</v>
      </c>
      <c r="C18" s="2" t="s">
        <v>65</v>
      </c>
      <c r="D18" s="2" t="s">
        <v>66</v>
      </c>
      <c r="E18" s="2">
        <v>1</v>
      </c>
      <c r="F18" s="2">
        <v>1</v>
      </c>
      <c r="G18" s="2">
        <v>1</v>
      </c>
      <c r="H18" s="2">
        <v>1</v>
      </c>
      <c r="I18" s="4">
        <v>1</v>
      </c>
      <c r="J18" s="2">
        <v>1</v>
      </c>
      <c r="K18" s="2" t="b">
        <v>0</v>
      </c>
      <c r="L18" s="2">
        <v>4</v>
      </c>
      <c r="M18" s="2">
        <v>0</v>
      </c>
      <c r="N18" s="2">
        <v>0</v>
      </c>
    </row>
    <row r="19" spans="1:14" ht="409.5" x14ac:dyDescent="0.25">
      <c r="A19" s="2" t="s">
        <v>67</v>
      </c>
      <c r="B19" s="2" t="s">
        <v>52</v>
      </c>
      <c r="C19" s="2" t="s">
        <v>68</v>
      </c>
      <c r="D19" s="2" t="s">
        <v>69</v>
      </c>
      <c r="E19" s="2">
        <v>0</v>
      </c>
      <c r="F19" s="2">
        <v>1</v>
      </c>
      <c r="G19" s="2">
        <v>1</v>
      </c>
      <c r="H19" s="2">
        <v>0.5</v>
      </c>
      <c r="I19" s="4">
        <v>1</v>
      </c>
      <c r="J19" s="2">
        <v>1</v>
      </c>
      <c r="K19" s="2" t="b">
        <v>0</v>
      </c>
      <c r="L19" s="2">
        <v>3</v>
      </c>
      <c r="M19" s="2">
        <v>0</v>
      </c>
      <c r="N19" s="2">
        <v>0</v>
      </c>
    </row>
    <row r="20" spans="1:14" ht="392" x14ac:dyDescent="0.25">
      <c r="A20" s="2" t="s">
        <v>70</v>
      </c>
      <c r="B20" s="2" t="s">
        <v>52</v>
      </c>
      <c r="C20" s="2" t="s">
        <v>71</v>
      </c>
      <c r="D20" s="2" t="s">
        <v>72</v>
      </c>
      <c r="E20" s="2">
        <v>1</v>
      </c>
      <c r="F20" s="2">
        <v>1</v>
      </c>
      <c r="G20" s="2">
        <v>1</v>
      </c>
      <c r="H20" s="2">
        <v>1</v>
      </c>
      <c r="I20" s="4">
        <v>1</v>
      </c>
      <c r="J20" s="2">
        <v>1</v>
      </c>
      <c r="K20" s="2" t="b">
        <v>0</v>
      </c>
      <c r="L20" s="2">
        <v>2</v>
      </c>
      <c r="M20" s="2">
        <v>0</v>
      </c>
      <c r="N20" s="2">
        <v>0</v>
      </c>
    </row>
    <row r="21" spans="1:14" ht="409.5" x14ac:dyDescent="0.25">
      <c r="A21" s="2" t="s">
        <v>73</v>
      </c>
      <c r="B21" s="2" t="s">
        <v>52</v>
      </c>
      <c r="C21" s="2" t="s">
        <v>74</v>
      </c>
      <c r="D21" s="2" t="s">
        <v>75</v>
      </c>
      <c r="E21" s="2">
        <v>1</v>
      </c>
      <c r="F21" s="2">
        <v>1</v>
      </c>
      <c r="G21" s="2">
        <v>1</v>
      </c>
      <c r="H21" s="2">
        <v>1</v>
      </c>
      <c r="I21" s="4">
        <v>1</v>
      </c>
      <c r="J21" s="2">
        <v>0.66700000000000004</v>
      </c>
      <c r="K21" s="2" t="b">
        <v>0</v>
      </c>
      <c r="L21" s="2">
        <v>1</v>
      </c>
      <c r="M21" s="2">
        <v>0</v>
      </c>
      <c r="N21" s="2">
        <v>1</v>
      </c>
    </row>
    <row r="22" spans="1:14" ht="409.5" x14ac:dyDescent="0.25">
      <c r="A22" s="2" t="s">
        <v>76</v>
      </c>
      <c r="B22" s="2" t="s">
        <v>52</v>
      </c>
      <c r="C22" s="2" t="s">
        <v>77</v>
      </c>
      <c r="D22" s="2" t="s">
        <v>78</v>
      </c>
      <c r="E22" s="2">
        <v>1</v>
      </c>
      <c r="F22" s="2">
        <v>1</v>
      </c>
      <c r="G22" s="2">
        <v>1</v>
      </c>
      <c r="H22" s="2">
        <v>1</v>
      </c>
      <c r="I22" s="4">
        <v>1</v>
      </c>
      <c r="J22" s="2">
        <v>1</v>
      </c>
      <c r="K22" s="2" t="b">
        <v>0</v>
      </c>
      <c r="L22" s="2">
        <v>3</v>
      </c>
      <c r="M22" s="2">
        <v>0</v>
      </c>
      <c r="N22" s="2">
        <v>0</v>
      </c>
    </row>
    <row r="23" spans="1:14" ht="409.5" x14ac:dyDescent="0.25">
      <c r="A23" s="2" t="s">
        <v>79</v>
      </c>
      <c r="B23" s="2" t="s">
        <v>52</v>
      </c>
      <c r="C23" s="2" t="s">
        <v>80</v>
      </c>
      <c r="D23" s="2" t="s">
        <v>81</v>
      </c>
      <c r="E23" s="2">
        <v>1</v>
      </c>
      <c r="F23" s="2">
        <v>1</v>
      </c>
      <c r="G23" s="2">
        <v>1</v>
      </c>
      <c r="H23" s="2">
        <v>1</v>
      </c>
      <c r="I23" s="4">
        <v>1</v>
      </c>
      <c r="J23" s="2">
        <v>1</v>
      </c>
      <c r="K23" s="2" t="b">
        <v>0</v>
      </c>
      <c r="L23" s="2">
        <v>2</v>
      </c>
      <c r="M23" s="2">
        <v>0</v>
      </c>
      <c r="N23" s="2">
        <v>0</v>
      </c>
    </row>
    <row r="24" spans="1:14" ht="409.5" x14ac:dyDescent="0.25">
      <c r="A24" s="2" t="s">
        <v>82</v>
      </c>
      <c r="B24" s="2" t="s">
        <v>52</v>
      </c>
      <c r="C24" s="2" t="s">
        <v>83</v>
      </c>
      <c r="D24" s="2" t="s">
        <v>84</v>
      </c>
      <c r="E24" s="2">
        <v>1</v>
      </c>
      <c r="F24" s="2">
        <v>1</v>
      </c>
      <c r="G24" s="2">
        <v>1</v>
      </c>
      <c r="H24" s="2">
        <v>1</v>
      </c>
      <c r="I24" s="4">
        <v>1</v>
      </c>
      <c r="J24" s="2">
        <v>1</v>
      </c>
      <c r="K24" s="2" t="b">
        <v>0</v>
      </c>
      <c r="L24" s="2">
        <v>1</v>
      </c>
      <c r="M24" s="2">
        <v>0</v>
      </c>
      <c r="N24" s="2">
        <v>0</v>
      </c>
    </row>
    <row r="25" spans="1:14" ht="409.5" x14ac:dyDescent="0.25">
      <c r="A25" s="2" t="s">
        <v>85</v>
      </c>
      <c r="B25" s="2" t="s">
        <v>86</v>
      </c>
      <c r="C25" s="2" t="s">
        <v>87</v>
      </c>
      <c r="D25" s="2" t="s">
        <v>88</v>
      </c>
      <c r="E25" s="2">
        <v>1</v>
      </c>
      <c r="F25" s="2">
        <v>1</v>
      </c>
      <c r="G25" s="2">
        <v>1</v>
      </c>
      <c r="H25" s="2">
        <v>1</v>
      </c>
      <c r="I25" s="4">
        <v>1</v>
      </c>
      <c r="J25" s="2">
        <v>1</v>
      </c>
      <c r="K25" s="2" t="b">
        <v>0</v>
      </c>
      <c r="L25" s="2">
        <v>2</v>
      </c>
      <c r="M25" s="2">
        <v>0</v>
      </c>
      <c r="N25" s="2">
        <v>0</v>
      </c>
    </row>
    <row r="26" spans="1:14" ht="409.5" x14ac:dyDescent="0.25">
      <c r="A26" s="2" t="s">
        <v>89</v>
      </c>
      <c r="B26" s="2" t="s">
        <v>86</v>
      </c>
      <c r="C26" s="2" t="s">
        <v>90</v>
      </c>
      <c r="D26" s="2" t="s">
        <v>91</v>
      </c>
      <c r="E26" s="2">
        <v>1</v>
      </c>
      <c r="F26" s="2">
        <v>1</v>
      </c>
      <c r="G26" s="2">
        <v>1</v>
      </c>
      <c r="H26" s="2">
        <v>1</v>
      </c>
      <c r="I26" s="4">
        <v>1</v>
      </c>
      <c r="J26" s="2">
        <v>1</v>
      </c>
      <c r="K26" s="2" t="b">
        <v>0</v>
      </c>
      <c r="L26" s="2">
        <v>1</v>
      </c>
      <c r="M26" s="2">
        <v>0</v>
      </c>
      <c r="N26" s="2">
        <v>0</v>
      </c>
    </row>
    <row r="27" spans="1:14" ht="409.5" x14ac:dyDescent="0.25">
      <c r="A27" s="2" t="s">
        <v>92</v>
      </c>
      <c r="B27" s="2" t="s">
        <v>86</v>
      </c>
      <c r="C27" s="2" t="s">
        <v>93</v>
      </c>
      <c r="D27" s="2" t="s">
        <v>94</v>
      </c>
      <c r="E27" s="2">
        <v>1</v>
      </c>
      <c r="F27" s="2">
        <v>1</v>
      </c>
      <c r="G27" s="2">
        <v>1</v>
      </c>
      <c r="H27" s="2">
        <v>1</v>
      </c>
      <c r="I27" s="4">
        <v>1</v>
      </c>
      <c r="J27" s="2">
        <v>0.66700000000000004</v>
      </c>
      <c r="K27" s="2" t="b">
        <v>0</v>
      </c>
      <c r="L27" s="2">
        <v>1</v>
      </c>
      <c r="M27" s="2">
        <v>0</v>
      </c>
      <c r="N27" s="2">
        <v>1</v>
      </c>
    </row>
    <row r="28" spans="1:14" ht="350" x14ac:dyDescent="0.25">
      <c r="A28" s="2" t="s">
        <v>95</v>
      </c>
      <c r="B28" s="2" t="s">
        <v>86</v>
      </c>
      <c r="C28" s="2" t="s">
        <v>96</v>
      </c>
      <c r="D28" s="2" t="s">
        <v>97</v>
      </c>
      <c r="E28" s="2">
        <v>1</v>
      </c>
      <c r="F28" s="2">
        <v>1</v>
      </c>
      <c r="G28" s="2">
        <v>1</v>
      </c>
      <c r="H28" s="2">
        <v>1</v>
      </c>
      <c r="I28" s="4">
        <v>1</v>
      </c>
      <c r="J28" s="2">
        <v>1</v>
      </c>
      <c r="K28" s="2" t="b">
        <v>0</v>
      </c>
      <c r="L28" s="2">
        <v>1</v>
      </c>
      <c r="M28" s="2">
        <v>0</v>
      </c>
      <c r="N28" s="2">
        <v>0</v>
      </c>
    </row>
    <row r="29" spans="1:14" ht="280" x14ac:dyDescent="0.25">
      <c r="A29" s="2" t="s">
        <v>98</v>
      </c>
      <c r="B29" s="2" t="s">
        <v>86</v>
      </c>
      <c r="C29" s="2" t="s">
        <v>99</v>
      </c>
      <c r="D29" s="2" t="s">
        <v>100</v>
      </c>
      <c r="E29" s="2">
        <v>1</v>
      </c>
      <c r="F29" s="2">
        <v>1</v>
      </c>
      <c r="G29" s="2">
        <v>1</v>
      </c>
      <c r="H29" s="2">
        <v>1</v>
      </c>
      <c r="I29" s="4">
        <v>1</v>
      </c>
      <c r="J29" s="2">
        <v>1</v>
      </c>
      <c r="K29" s="2" t="b">
        <v>0</v>
      </c>
      <c r="L29" s="2">
        <v>1</v>
      </c>
      <c r="M29" s="2">
        <v>0</v>
      </c>
      <c r="N29" s="2">
        <v>0</v>
      </c>
    </row>
    <row r="30" spans="1:14" ht="406" x14ac:dyDescent="0.25">
      <c r="A30" s="2" t="s">
        <v>101</v>
      </c>
      <c r="B30" s="2" t="s">
        <v>86</v>
      </c>
      <c r="C30" s="2" t="s">
        <v>102</v>
      </c>
      <c r="D30" s="2" t="s">
        <v>103</v>
      </c>
      <c r="E30" s="2">
        <v>1</v>
      </c>
      <c r="F30" s="2">
        <v>1</v>
      </c>
      <c r="G30" s="2">
        <v>1</v>
      </c>
      <c r="H30" s="2">
        <v>1</v>
      </c>
      <c r="I30" s="4">
        <v>1</v>
      </c>
      <c r="J30" s="2">
        <v>1</v>
      </c>
      <c r="K30" s="2" t="b">
        <v>0</v>
      </c>
      <c r="L30" s="2">
        <v>3</v>
      </c>
      <c r="M30" s="2">
        <v>0</v>
      </c>
      <c r="N30" s="2">
        <v>0</v>
      </c>
    </row>
    <row r="31" spans="1:14" ht="409.5" x14ac:dyDescent="0.25">
      <c r="A31" s="2" t="s">
        <v>104</v>
      </c>
      <c r="B31" s="2" t="s">
        <v>86</v>
      </c>
      <c r="C31" s="2" t="s">
        <v>105</v>
      </c>
      <c r="D31" s="2" t="s">
        <v>106</v>
      </c>
      <c r="E31" s="2">
        <v>1</v>
      </c>
      <c r="F31" s="2">
        <v>1</v>
      </c>
      <c r="G31" s="2">
        <v>1</v>
      </c>
      <c r="H31" s="2">
        <v>1</v>
      </c>
      <c r="I31" s="4">
        <v>1</v>
      </c>
      <c r="J31" s="2">
        <v>1</v>
      </c>
      <c r="K31" s="2" t="b">
        <v>0</v>
      </c>
      <c r="L31" s="2">
        <v>3</v>
      </c>
      <c r="M31" s="2">
        <v>0</v>
      </c>
      <c r="N31" s="2">
        <v>0</v>
      </c>
    </row>
    <row r="32" spans="1:14" ht="409.5" x14ac:dyDescent="0.25">
      <c r="A32" s="2" t="s">
        <v>107</v>
      </c>
      <c r="B32" s="2" t="s">
        <v>86</v>
      </c>
      <c r="C32" s="2" t="s">
        <v>108</v>
      </c>
      <c r="D32" s="2" t="s">
        <v>109</v>
      </c>
      <c r="E32" s="2">
        <v>1</v>
      </c>
      <c r="F32" s="2">
        <v>1</v>
      </c>
      <c r="G32" s="2">
        <v>1</v>
      </c>
      <c r="H32" s="2">
        <v>1</v>
      </c>
      <c r="I32" s="4">
        <v>0.5</v>
      </c>
      <c r="J32" s="2">
        <v>1</v>
      </c>
      <c r="K32" s="2" t="b">
        <v>0</v>
      </c>
      <c r="L32" s="2">
        <v>3</v>
      </c>
      <c r="M32" s="2">
        <v>0</v>
      </c>
      <c r="N32" s="2">
        <v>0</v>
      </c>
    </row>
    <row r="33" spans="1:15" ht="409.5" x14ac:dyDescent="0.25">
      <c r="A33" s="2" t="s">
        <v>110</v>
      </c>
      <c r="B33" s="2" t="s">
        <v>86</v>
      </c>
      <c r="C33" s="2" t="s">
        <v>111</v>
      </c>
      <c r="D33" s="2" t="s">
        <v>112</v>
      </c>
      <c r="E33" s="2">
        <v>1</v>
      </c>
      <c r="F33" s="2">
        <v>1</v>
      </c>
      <c r="G33" s="2">
        <v>1</v>
      </c>
      <c r="H33" s="2">
        <v>1</v>
      </c>
      <c r="I33" s="4">
        <v>1</v>
      </c>
      <c r="J33" s="2">
        <v>1</v>
      </c>
      <c r="K33" s="2" t="b">
        <v>0</v>
      </c>
      <c r="L33" s="2">
        <v>3</v>
      </c>
      <c r="M33" s="2">
        <v>0</v>
      </c>
      <c r="N33" s="2">
        <v>0</v>
      </c>
    </row>
    <row r="34" spans="1:15" ht="409.5" x14ac:dyDescent="0.25">
      <c r="A34" s="2" t="s">
        <v>113</v>
      </c>
      <c r="B34" s="2" t="s">
        <v>86</v>
      </c>
      <c r="C34" s="2" t="s">
        <v>114</v>
      </c>
      <c r="D34" s="2" t="s">
        <v>115</v>
      </c>
      <c r="E34" s="2">
        <v>1</v>
      </c>
      <c r="F34" s="2">
        <v>1</v>
      </c>
      <c r="G34" s="2">
        <v>1</v>
      </c>
      <c r="H34" s="2">
        <v>1</v>
      </c>
      <c r="I34" s="4">
        <v>1</v>
      </c>
      <c r="J34" s="2">
        <v>1</v>
      </c>
      <c r="K34" s="2" t="b">
        <v>0</v>
      </c>
      <c r="L34" s="2">
        <v>3</v>
      </c>
      <c r="M34" s="2">
        <v>0</v>
      </c>
      <c r="N34" s="2">
        <v>0</v>
      </c>
    </row>
    <row r="35" spans="1:15" ht="294" x14ac:dyDescent="0.25">
      <c r="A35" s="2" t="s">
        <v>116</v>
      </c>
      <c r="B35" s="2" t="s">
        <v>86</v>
      </c>
      <c r="C35" s="2" t="s">
        <v>117</v>
      </c>
      <c r="D35" s="2" t="s">
        <v>118</v>
      </c>
      <c r="E35" s="2">
        <v>1</v>
      </c>
      <c r="F35" s="2">
        <v>1</v>
      </c>
      <c r="G35" s="2">
        <v>1</v>
      </c>
      <c r="H35" s="2">
        <v>1</v>
      </c>
      <c r="I35" s="4">
        <v>1</v>
      </c>
      <c r="J35" s="2">
        <v>0.66700000000000004</v>
      </c>
      <c r="K35" s="2" t="b">
        <v>0</v>
      </c>
      <c r="L35" s="2">
        <v>1</v>
      </c>
      <c r="M35" s="2">
        <v>0</v>
      </c>
      <c r="N35" s="2">
        <v>1</v>
      </c>
    </row>
    <row r="36" spans="1:15" ht="308" x14ac:dyDescent="0.25">
      <c r="A36" s="2" t="s">
        <v>119</v>
      </c>
      <c r="B36" s="2" t="s">
        <v>120</v>
      </c>
      <c r="C36" s="2" t="s">
        <v>121</v>
      </c>
      <c r="D36" s="2" t="s">
        <v>122</v>
      </c>
      <c r="E36" s="2">
        <v>0</v>
      </c>
      <c r="F36" s="2">
        <v>1</v>
      </c>
      <c r="G36" s="2">
        <v>1</v>
      </c>
      <c r="H36" s="2">
        <v>0.5</v>
      </c>
      <c r="I36" s="4">
        <v>1</v>
      </c>
      <c r="J36" s="2">
        <v>1</v>
      </c>
      <c r="K36" s="2" t="b">
        <v>0</v>
      </c>
      <c r="L36" s="2">
        <v>2</v>
      </c>
      <c r="M36" s="2">
        <v>0</v>
      </c>
      <c r="N36" s="2">
        <v>0</v>
      </c>
    </row>
    <row r="37" spans="1:15" ht="409.5" x14ac:dyDescent="0.25">
      <c r="A37" s="2" t="s">
        <v>123</v>
      </c>
      <c r="B37" s="2" t="s">
        <v>120</v>
      </c>
      <c r="C37" s="2" t="s">
        <v>124</v>
      </c>
      <c r="D37" s="2" t="s">
        <v>125</v>
      </c>
      <c r="E37" s="2">
        <v>0</v>
      </c>
      <c r="F37" s="2">
        <v>1</v>
      </c>
      <c r="G37" s="2">
        <v>1</v>
      </c>
      <c r="H37" s="2">
        <v>0.5</v>
      </c>
      <c r="I37" s="4">
        <v>1</v>
      </c>
      <c r="J37" s="2">
        <v>1</v>
      </c>
      <c r="K37" s="2" t="b">
        <v>0</v>
      </c>
      <c r="L37" s="2">
        <v>2</v>
      </c>
      <c r="M37" s="2">
        <v>0</v>
      </c>
      <c r="N37" s="2">
        <v>0</v>
      </c>
    </row>
    <row r="38" spans="1:15" ht="409.5" x14ac:dyDescent="0.25">
      <c r="A38" s="2" t="s">
        <v>126</v>
      </c>
      <c r="B38" s="2" t="s">
        <v>120</v>
      </c>
      <c r="C38" s="2" t="s">
        <v>127</v>
      </c>
      <c r="D38" s="2" t="s">
        <v>128</v>
      </c>
      <c r="E38" s="2">
        <v>0</v>
      </c>
      <c r="F38" s="2">
        <v>0</v>
      </c>
      <c r="G38" s="2">
        <v>0</v>
      </c>
      <c r="H38" s="2">
        <v>0</v>
      </c>
      <c r="I38" s="4">
        <v>0.66700000000000004</v>
      </c>
      <c r="J38" s="2">
        <v>0.66700000000000004</v>
      </c>
      <c r="K38" s="2" t="b">
        <v>0</v>
      </c>
      <c r="L38" s="2">
        <v>2</v>
      </c>
      <c r="M38" s="2">
        <v>1</v>
      </c>
      <c r="N38" s="2">
        <v>1</v>
      </c>
    </row>
    <row r="39" spans="1:15" s="5" customFormat="1" ht="350" x14ac:dyDescent="0.25">
      <c r="A39" s="5" t="s">
        <v>129</v>
      </c>
      <c r="B39" s="5" t="s">
        <v>120</v>
      </c>
      <c r="C39" s="5" t="s">
        <v>130</v>
      </c>
      <c r="D39" s="5" t="s">
        <v>131</v>
      </c>
      <c r="E39" s="5">
        <v>0</v>
      </c>
      <c r="F39" s="5">
        <v>0</v>
      </c>
      <c r="G39" s="5">
        <v>1</v>
      </c>
      <c r="H39" s="5">
        <v>0.25</v>
      </c>
      <c r="I39" s="5">
        <v>0</v>
      </c>
      <c r="J39" s="5">
        <v>0</v>
      </c>
      <c r="K39" s="5" t="b">
        <v>0</v>
      </c>
      <c r="L39" s="5">
        <v>0</v>
      </c>
      <c r="M39" s="5">
        <v>0</v>
      </c>
      <c r="N39" s="5">
        <v>2</v>
      </c>
    </row>
    <row r="40" spans="1:15" ht="409.5" x14ac:dyDescent="0.25">
      <c r="A40" s="2" t="s">
        <v>132</v>
      </c>
      <c r="B40" s="2" t="s">
        <v>120</v>
      </c>
      <c r="C40" s="2" t="s">
        <v>133</v>
      </c>
      <c r="D40" s="2" t="s">
        <v>134</v>
      </c>
      <c r="E40" s="2">
        <v>1</v>
      </c>
      <c r="F40" s="2">
        <v>1</v>
      </c>
      <c r="G40" s="2">
        <v>1</v>
      </c>
      <c r="H40" s="2">
        <v>1</v>
      </c>
      <c r="I40" s="4">
        <v>1</v>
      </c>
      <c r="J40" s="2">
        <v>0.57099999999999995</v>
      </c>
      <c r="K40" s="2" t="b">
        <v>0</v>
      </c>
      <c r="L40" s="2">
        <v>2</v>
      </c>
      <c r="M40" s="2">
        <v>1</v>
      </c>
      <c r="N40" s="2">
        <v>2</v>
      </c>
    </row>
    <row r="41" spans="1:15" ht="409.5" x14ac:dyDescent="0.25">
      <c r="A41" s="2" t="s">
        <v>135</v>
      </c>
      <c r="B41" s="2" t="s">
        <v>120</v>
      </c>
      <c r="C41" s="2" t="s">
        <v>136</v>
      </c>
      <c r="D41" s="2" t="s">
        <v>137</v>
      </c>
      <c r="E41" s="2">
        <v>1</v>
      </c>
      <c r="F41" s="2">
        <v>1</v>
      </c>
      <c r="G41" s="2">
        <v>1</v>
      </c>
      <c r="H41" s="2">
        <v>1</v>
      </c>
      <c r="I41" s="4">
        <v>1</v>
      </c>
      <c r="J41" s="2">
        <v>0.8</v>
      </c>
      <c r="K41" s="2" t="b">
        <v>0</v>
      </c>
      <c r="L41" s="2">
        <v>2</v>
      </c>
      <c r="M41" s="2">
        <v>0</v>
      </c>
      <c r="N41" s="2">
        <v>1</v>
      </c>
    </row>
    <row r="42" spans="1:15" ht="409.5" x14ac:dyDescent="0.25">
      <c r="A42" s="2" t="s">
        <v>138</v>
      </c>
      <c r="B42" s="2" t="s">
        <v>120</v>
      </c>
      <c r="C42" s="2" t="s">
        <v>139</v>
      </c>
      <c r="D42" s="2" t="s">
        <v>140</v>
      </c>
      <c r="E42" s="2">
        <v>0</v>
      </c>
      <c r="F42" s="2">
        <v>1</v>
      </c>
      <c r="G42" s="2">
        <v>1</v>
      </c>
      <c r="H42" s="2">
        <v>0.33333333333333331</v>
      </c>
      <c r="I42" s="4">
        <v>0.66700000000000004</v>
      </c>
      <c r="J42" s="2">
        <v>0.88900000000000001</v>
      </c>
      <c r="K42" s="2" t="b">
        <v>0</v>
      </c>
      <c r="L42" s="2">
        <v>4</v>
      </c>
      <c r="M42" s="2">
        <v>0</v>
      </c>
      <c r="N42" s="2">
        <v>1</v>
      </c>
    </row>
    <row r="43" spans="1:15" ht="409.5" x14ac:dyDescent="0.25">
      <c r="A43" s="2" t="s">
        <v>141</v>
      </c>
      <c r="B43" s="2" t="s">
        <v>120</v>
      </c>
      <c r="C43" s="2" t="s">
        <v>142</v>
      </c>
      <c r="D43" s="2" t="s">
        <v>143</v>
      </c>
      <c r="E43" s="2">
        <v>0</v>
      </c>
      <c r="F43" s="2">
        <v>0</v>
      </c>
      <c r="G43" s="2">
        <v>1</v>
      </c>
      <c r="H43" s="2">
        <v>0.25</v>
      </c>
      <c r="I43" s="4">
        <v>0.33329999999999999</v>
      </c>
      <c r="J43" s="2">
        <v>1</v>
      </c>
      <c r="K43" s="2" t="b">
        <v>0</v>
      </c>
      <c r="L43" s="2">
        <v>2</v>
      </c>
      <c r="M43" s="2">
        <v>0</v>
      </c>
      <c r="N43" s="2">
        <v>0</v>
      </c>
    </row>
    <row r="44" spans="1:15" ht="112" x14ac:dyDescent="0.25">
      <c r="A44" s="2" t="s">
        <v>144</v>
      </c>
      <c r="B44" s="2" t="s">
        <v>145</v>
      </c>
      <c r="C44" s="2" t="s">
        <v>146</v>
      </c>
      <c r="D44" s="2" t="s">
        <v>131</v>
      </c>
      <c r="J44" s="2">
        <v>1</v>
      </c>
      <c r="K44" s="2" t="b">
        <v>1</v>
      </c>
      <c r="L44" s="2">
        <v>1</v>
      </c>
      <c r="M44" s="2">
        <v>0</v>
      </c>
      <c r="N44" s="2">
        <v>0</v>
      </c>
      <c r="O44" s="2" t="b">
        <v>1</v>
      </c>
    </row>
    <row r="45" spans="1:15" ht="140" x14ac:dyDescent="0.25">
      <c r="A45" s="2" t="s">
        <v>147</v>
      </c>
      <c r="B45" s="2" t="s">
        <v>145</v>
      </c>
      <c r="C45" s="2" t="s">
        <v>146</v>
      </c>
      <c r="D45" s="2" t="s">
        <v>131</v>
      </c>
      <c r="J45" s="2">
        <v>1</v>
      </c>
      <c r="K45" s="2" t="b">
        <v>1</v>
      </c>
      <c r="L45" s="2">
        <v>1</v>
      </c>
      <c r="M45" s="2">
        <v>0</v>
      </c>
      <c r="N45" s="2">
        <v>0</v>
      </c>
      <c r="O45" s="2" t="b">
        <v>1</v>
      </c>
    </row>
    <row r="46" spans="1:15" ht="84" x14ac:dyDescent="0.25">
      <c r="A46" s="2" t="s">
        <v>148</v>
      </c>
      <c r="B46" s="2" t="s">
        <v>145</v>
      </c>
      <c r="C46" s="2" t="s">
        <v>146</v>
      </c>
      <c r="D46" s="2" t="s">
        <v>131</v>
      </c>
      <c r="J46" s="2">
        <v>1</v>
      </c>
      <c r="K46" s="2" t="b">
        <v>1</v>
      </c>
      <c r="L46" s="2">
        <v>1</v>
      </c>
      <c r="M46" s="2">
        <v>0</v>
      </c>
      <c r="N46" s="2">
        <v>0</v>
      </c>
      <c r="O46" s="2" t="b">
        <v>1</v>
      </c>
    </row>
    <row r="47" spans="1:15" ht="210" x14ac:dyDescent="0.25">
      <c r="A47" s="2" t="s">
        <v>149</v>
      </c>
      <c r="B47" s="2" t="s">
        <v>145</v>
      </c>
      <c r="C47" s="2" t="s">
        <v>146</v>
      </c>
      <c r="D47" s="2" t="s">
        <v>131</v>
      </c>
      <c r="J47" s="2">
        <v>1</v>
      </c>
      <c r="K47" s="2" t="b">
        <v>1</v>
      </c>
      <c r="L47" s="2">
        <v>1</v>
      </c>
      <c r="M47" s="2">
        <v>0</v>
      </c>
      <c r="N47" s="2">
        <v>0</v>
      </c>
      <c r="O47" s="2" t="b">
        <v>1</v>
      </c>
    </row>
    <row r="48" spans="1:15" ht="98" x14ac:dyDescent="0.25">
      <c r="A48" s="2" t="s">
        <v>150</v>
      </c>
      <c r="B48" s="2" t="s">
        <v>145</v>
      </c>
      <c r="C48" s="2" t="s">
        <v>146</v>
      </c>
      <c r="D48" s="2" t="s">
        <v>131</v>
      </c>
      <c r="J48" s="2">
        <v>1</v>
      </c>
      <c r="K48" s="2" t="b">
        <v>1</v>
      </c>
      <c r="L48" s="2">
        <v>1</v>
      </c>
      <c r="M48" s="2">
        <v>0</v>
      </c>
      <c r="N48" s="2">
        <v>0</v>
      </c>
      <c r="O48" s="2" t="b">
        <v>1</v>
      </c>
    </row>
    <row r="49" spans="1:15" ht="98" x14ac:dyDescent="0.25">
      <c r="A49" s="2" t="s">
        <v>151</v>
      </c>
      <c r="B49" s="2" t="s">
        <v>145</v>
      </c>
      <c r="C49" s="2" t="s">
        <v>146</v>
      </c>
      <c r="D49" s="2" t="s">
        <v>131</v>
      </c>
      <c r="J49" s="2">
        <v>1</v>
      </c>
      <c r="K49" s="2" t="b">
        <v>1</v>
      </c>
      <c r="L49" s="2">
        <v>1</v>
      </c>
      <c r="M49" s="2">
        <v>0</v>
      </c>
      <c r="N49" s="2">
        <v>0</v>
      </c>
      <c r="O49" s="2" t="b">
        <v>1</v>
      </c>
    </row>
    <row r="50" spans="1:15" ht="126" x14ac:dyDescent="0.25">
      <c r="A50" s="2" t="s">
        <v>152</v>
      </c>
      <c r="B50" s="2" t="s">
        <v>145</v>
      </c>
      <c r="C50" s="2" t="s">
        <v>146</v>
      </c>
      <c r="D50" s="2" t="s">
        <v>131</v>
      </c>
      <c r="J50" s="2">
        <v>1</v>
      </c>
      <c r="K50" s="2" t="b">
        <v>1</v>
      </c>
      <c r="L50" s="2">
        <v>1</v>
      </c>
      <c r="M50" s="2">
        <v>0</v>
      </c>
      <c r="N50" s="2">
        <v>0</v>
      </c>
      <c r="O50" s="2" t="b">
        <v>1</v>
      </c>
    </row>
    <row r="51" spans="1:15" ht="126" x14ac:dyDescent="0.25">
      <c r="A51" s="2" t="s">
        <v>153</v>
      </c>
      <c r="B51" s="2" t="s">
        <v>145</v>
      </c>
      <c r="C51" s="2" t="s">
        <v>146</v>
      </c>
      <c r="D51" s="2" t="s">
        <v>131</v>
      </c>
      <c r="J51" s="2">
        <v>1</v>
      </c>
      <c r="K51" s="2" t="b">
        <v>1</v>
      </c>
      <c r="L51" s="2">
        <v>1</v>
      </c>
      <c r="M51" s="2">
        <v>0</v>
      </c>
      <c r="N51" s="2">
        <v>0</v>
      </c>
      <c r="O51" s="2" t="b">
        <v>1</v>
      </c>
    </row>
    <row r="53" spans="1:15" ht="28" x14ac:dyDescent="0.25">
      <c r="A53" s="2" t="s">
        <v>154</v>
      </c>
      <c r="E53" s="2">
        <f>AVERAGEIFS(E2:E51,K2:K51,FALSE)</f>
        <v>0.7857142857142857</v>
      </c>
      <c r="F53" s="2">
        <f>AVERAGEIFS(F2:F51,K2:K51,FALSE)</f>
        <v>0.9285714285714286</v>
      </c>
      <c r="G53" s="2">
        <f>AVERAGEIFS(G2:G51,K2:K51,FALSE)</f>
        <v>0.97619047619047616</v>
      </c>
      <c r="H53" s="2">
        <f>AVERAGEIFS(H2:H51,K2:K51,FALSE)</f>
        <v>0.8571428571428571</v>
      </c>
      <c r="I53" s="4">
        <f>AVERAGEIFS(I2:I51,K2:K51,FALSE)</f>
        <v>0.88493571428571438</v>
      </c>
      <c r="J53" s="2">
        <f>AVERAGE(J2:J51)</f>
        <v>0.91000000000000014</v>
      </c>
      <c r="L53" s="2">
        <f>AVERAGE(L2:L51)</f>
        <v>1.92</v>
      </c>
      <c r="M53" s="2">
        <f>AVERAGE(M2:M51)</f>
        <v>0.04</v>
      </c>
      <c r="N53" s="2">
        <f>AVERAGE(N2:N51)</f>
        <v>0.32</v>
      </c>
    </row>
    <row r="54" spans="1:15" ht="28" x14ac:dyDescent="0.25">
      <c r="A54" s="2" t="s">
        <v>155</v>
      </c>
      <c r="B54" s="2" t="s">
        <v>15</v>
      </c>
      <c r="E54" s="2">
        <f>AVERAGEIFS(E2:E51,B2:B51,"定义类",K2:K51,FALSE)</f>
        <v>0.91666666666666663</v>
      </c>
      <c r="F54" s="2">
        <f>AVERAGEIFS(F2:F51,B2:B51,"定义类",K2:K51,FALSE)</f>
        <v>1</v>
      </c>
      <c r="G54" s="2">
        <f>AVERAGEIFS(G2:G51,B2:B51,"定义类",K2:K51,FALSE)</f>
        <v>1</v>
      </c>
      <c r="H54" s="2">
        <f>AVERAGEIFS(H2:H51,B2:B51,"定义类",K2:K51,FALSE)</f>
        <v>0.94444444444444431</v>
      </c>
      <c r="I54" s="4">
        <f>AVERAGEIFS(I2:I51,B2:B51,"定义类",K2:K51,FALSE)</f>
        <v>0.91666666666666663</v>
      </c>
      <c r="J54" s="2">
        <f>AVERAGEIF(B2:B51,"定义类",J2:J51)</f>
        <v>0.90874999999999995</v>
      </c>
      <c r="L54" s="2">
        <f>AVERAGEIF(B2:B51,"定义类",L2:L51)</f>
        <v>2.1666666666666665</v>
      </c>
      <c r="M54" s="2">
        <f>AVERAGEIF(B2:B51,"定义类",M2:M51)</f>
        <v>0</v>
      </c>
      <c r="N54" s="2">
        <f>AVERAGEIF(B2:B51,"定义类",N2:N51)</f>
        <v>0.41666666666666669</v>
      </c>
    </row>
    <row r="55" spans="1:15" ht="42" x14ac:dyDescent="0.25">
      <c r="A55" s="2" t="s">
        <v>156</v>
      </c>
      <c r="B55" s="2" t="s">
        <v>52</v>
      </c>
      <c r="E55" s="2">
        <f>AVERAGEIFS(E2:E51,B2:B51,"方法细节类",K2:K51,FALSE)</f>
        <v>0.81818181818181823</v>
      </c>
      <c r="F55" s="2">
        <f>AVERAGEIFS(F2:F51,B2:B51,"方法细节类",K2:K51,FALSE)</f>
        <v>1</v>
      </c>
      <c r="G55" s="2">
        <f>AVERAGEIFS(G2:G51,B2:B51,"方法细节类",K2:K51,FALSE)</f>
        <v>1</v>
      </c>
      <c r="H55" s="2">
        <f>AVERAGEIFS(H2:H51,B2:B51,"方法细节类",K2:K51,FALSE)</f>
        <v>0.89393939393939403</v>
      </c>
      <c r="I55" s="4">
        <f>AVERAGEIFS(I2:I51,B2:B51,"方法细节类",K2:K51,FALSE)</f>
        <v>0.90909090909090906</v>
      </c>
      <c r="J55" s="2">
        <f>AVERAGEIF(B2:B51,"方法细节类",J2:J51)</f>
        <v>0.93945454545454543</v>
      </c>
      <c r="L55" s="2">
        <f>AVERAGEIF(B2:B51,"方法细节类",L2:L51)</f>
        <v>2.1818181818181817</v>
      </c>
      <c r="M55" s="2">
        <f>AVERAGEIF(B2:B51,"方法细节类",M2:M51)</f>
        <v>0</v>
      </c>
      <c r="N55" s="2">
        <f>AVERAGEIF(B2:B51,"方法细节类",N2:N51)</f>
        <v>0.18181818181818182</v>
      </c>
    </row>
    <row r="56" spans="1:15" ht="42" x14ac:dyDescent="0.25">
      <c r="A56" s="2" t="s">
        <v>157</v>
      </c>
      <c r="B56" s="2" t="s">
        <v>86</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0.95454545454545459</v>
      </c>
      <c r="J56" s="2">
        <f>AVERAGEIF(B2:B51,"实验结果类",J2:J51)</f>
        <v>0.93945454545454543</v>
      </c>
      <c r="L56" s="2">
        <f>AVERAGEIF(B2:B51,"实验结果类",L2:L51)</f>
        <v>2</v>
      </c>
      <c r="M56" s="2">
        <f>AVERAGEIF(B2:B51,"实验结果类",M2:M51)</f>
        <v>0</v>
      </c>
      <c r="N56" s="2">
        <f>AVERAGEIF(B2:B51,"实验结果类",N2:N51)</f>
        <v>0.18181818181818182</v>
      </c>
    </row>
    <row r="57" spans="1:15" ht="42" x14ac:dyDescent="0.25">
      <c r="A57" s="2" t="s">
        <v>158</v>
      </c>
      <c r="B57" s="2" t="s">
        <v>120</v>
      </c>
      <c r="E57" s="2">
        <f>AVERAGEIFS(E2:E51,B2:B51,"跨论文比较类",K2:K51,FALSE)</f>
        <v>0.25</v>
      </c>
      <c r="F57" s="2">
        <f>AVERAGEIFS(F2:F51,B2:B51,"跨论文比较类",K2:K51,FALSE)</f>
        <v>0.625</v>
      </c>
      <c r="G57" s="2">
        <f>AVERAGEIFS(G2:G51,B2:B51,"跨论文比较类",K2:K51,FALSE)</f>
        <v>0.875</v>
      </c>
      <c r="H57" s="2">
        <f>AVERAGEIFS(H2:H51,B2:B51,"跨论文比较类",K2:K51,FALSE)</f>
        <v>0.47916666666666669</v>
      </c>
      <c r="I57" s="4">
        <f>AVERAGEIFS(I2:I51,B2:B51,"跨论文比较类",K2:K51,FALSE)</f>
        <v>0.7084125</v>
      </c>
      <c r="J57" s="2">
        <f>AVERAGEIF(B2:B51,"跨论文比较类",J2:J51)</f>
        <v>0.74087499999999995</v>
      </c>
      <c r="L57" s="2">
        <f>AVERAGEIF(B2:B51,"跨论文比较类",L2:L51)</f>
        <v>2</v>
      </c>
      <c r="M57" s="2">
        <f>AVERAGEIF(B2:B51,"跨论文比较类",M2:M51)</f>
        <v>0.25</v>
      </c>
      <c r="N57" s="2">
        <f>AVERAGEIF(B2:B51,"跨论文比较类",N2:N51)</f>
        <v>0.875</v>
      </c>
    </row>
    <row r="58" spans="1:15" ht="42" x14ac:dyDescent="0.25">
      <c r="A58" s="2" t="s">
        <v>159</v>
      </c>
      <c r="B58" s="2" t="s">
        <v>145</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2026-06-03T01:00:50Z</dcterms:created>
  <dcterms:modified xsi:type="dcterms:W3CDTF">2026-06-03T01:50:17Z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896efcad-a75d-4180-81c1-cde87ce13c38</vt:lpwstr>
  </property>
</Properties>
</file>