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356826AF-3348-405F-B549-789D8BCD2CF5}" xr6:coauthVersionLast="47" xr6:coauthVersionMax="47" xr10:uidLastSave="{00000000-0000-0000-0000-000000000000}"/>
  <bookViews>
    <workbookView xWindow="12710" yWindow="0" windowWidth="12980" windowHeight="137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<sst xmlns="http://schemas.openxmlformats.org/spreadsheetml/2006/main" count="226" uniqueCount="163">
  <si>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</si>
  <si>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</si>
  <si>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</si>
  <si>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</si>
  <si>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</si>
  <si>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</si>
  <si>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</si>
  <si>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</si>
  <si>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</si>
  <si>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</si>
  <si>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</si>
  <si>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</si>
  <si>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</si>
  <si>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</si>
  <si>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</si>
  <si>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</si>
  <si>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</si>
  <si>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</si>
  <si>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</si>
  <si>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</si>
  <si>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</si>
  <si>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</si>
  <si>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</si>
  <si>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</si>
  <si>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</si>
  <si>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</si>
  <si>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</si>
  <si>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</si>
  <si>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</si>
  <si>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</si>
  <si>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</si>
  <si>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</si>
  <si>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</si>
  <si>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</si>
  <si>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</si>
  <si>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</si>
  <si>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</si>
  <si>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</si>
  <si>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</si>
  <si>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</si>
  <si>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</si>
  <si>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</si>
  <si>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</si>
  <si>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</si>
  <si>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</si>
  <si>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</si>
  <si>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</si>
  <si>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</si>
  <si>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</si>
  <si>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</si>
  <si>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</si>
  <si>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</si>
  <si>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</si>
  <si>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</si>
  <si>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CypherBench 是如何从 RDF 图生成领域特定属性图的？</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</si>
  <si>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</si>
  <si>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</si>
  <si>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</si>
  <si>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</si>
  <si>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</si>
  <si>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</si>
  <si>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</si>
  <si>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</si>
  <si>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</si>
  <si>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</si>
  <si>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</si>
  <si>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</si>
  <si>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</si>
  <si>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</si>
  <si>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</si>
  <si>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</si>
  <si>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</si>
  <si>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</si>
  <si>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</si>
  <si>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</si>
  <si>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</si>
  <si>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</si>
  <si>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</si>
  <si>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</si>
  <si>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</si>
  <si>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</si>
  <si>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</si>
  <si>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</si>
  <si>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</si>
  <si>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</si>
  <si>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</si>
  <si>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</si>
  <si>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</si>
  <si>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</si>
  <si>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</si>
  <si>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</si>
  <si>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</si>
  <si>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</si>
  <si>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</si>
  <si>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根据已有信息，无法回答此问题。提供的论文片段仅介绍了SYNQA的数据生成策略，未提及RHIO的相关内容，因此无法比较两者在提升模型归因能力上的不同。</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</si>
  <si>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</si>
  <si>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</si>
  <si>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</si>
  <si>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</si>
  <si>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</si>
  <si>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</si>
  <si>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</si>
  <si>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</si>
  <si>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</si>
  <si>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</si>
  <si>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</si>
  <si>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</si>
  <si>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</si>
  <si>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</si>
  <si>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</si>
  <si>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</si>
  <si>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</si>
  <si>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</si>
  <si>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</si>
  <si>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</si>
  <si>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</si>
  <si>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</si>
  <si>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</si>
  <si>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</si>
  <si>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</si>
  <si>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DRAG通过传输去标识化的查询和结构化知识而不是完整响应来保护用户隐私。这样可以避免传输完整的用户查询和敏感信息。</t>
    <phoneticPr fontId="2" type="noConversion"/>
  </si>
  <si>
    <t>该论文将post-training scaling分为三个主要方法：监督微调（SFT）、强化学习（RL）和测试时计算（TTC）。
来自: [A Survey of Post-Training Scaling in Large Language Models, 第2页, A Survey of Post-Training Scaling in Large Language Models_008]</t>
    <phoneticPr fontId="2" type="noConversion"/>
  </si>
  <si>
    <t>在SafeRAG中，"silver noise"指的是部分包含答案的证据。
来自: [SafeRAG: Benchmarking Security in Retrieval-Augmented Generation of Large Language Model, 第2页, SafeRAG: Benchmarking Security in Retrieval-Augmented Generation of Large Language Model_chunk_007]</t>
  </si>
  <si>
    <t>RAG噪声被分为有益噪声（beneficial noise）和有害噪声（harmful noise）两类。
来自: [Pandora’s Box or Aladdin’s Lamp: A Comprehensive Analysis Revealing the Role of RAG Noise in Large Language Models, 第2页, Pandora’s Box or Aladdin’s Lamp: A Comprehensive Analysis Revealing the Role of RAG Noise in Large Language Models_chunk_006]
来自: [Pandora’s Box or Aladdin’s Lamp: A Comprehensive Analysis Revealing the Role of RAG Noise in Large Language Models, 第2页, Pandora’s Box or Aladdin’s Lamp: A Comprehensive Analysis Revealing the Role of RAG Noise in Large Language Models_chunk_010]</t>
  </si>
  <si>
    <t>Ref-Long是一个评估长上下文语言模型（LCLMs）长上下文引用能力的基准，该能力要求模型不仅检索关键信息，还要识别其在长上下文中的具体位置（如文档索引）。
来自: [Ref-Long: Benchmarking the Long-context Referencing Capability of Long-context Language Models, 第2页, Ref-Long: Benchmarking the Long-context Referencing Capability of Long-context Language Models_chunk_005]
来自: [Ref-Long: Benchmarking the Long-context Referencing Capability of Long-context Language Models, 第1页, Ref-Long: Benchmarking the Long-context Referencing Capability of Long-context Language Models_chunk_004]</t>
  </si>
  <si>
    <t>SYNQA是一种生成式方法，通过给定选定的上下文句子，让大型语言模型生成完全由这些句子支持的问答对，从而合成上下文归因数据。
来自: [On Synthesizing Data for Context Attribution in Question Answering, 第2页, On Synthesizing Data for Context Attribution in Question Answering_chunk_009]</t>
  </si>
  <si>
    <t>AgenticLU是一个通过将目标性自我澄清与上下文锚定整合到智能体工作流中来增强大语言模型对长上下文查询理解的框架。
来自: [Self-Taught Agentic Long-Context Understanding, 第1页, Self-Taught Agentic Long-Context Understanding_chunk_001]</t>
  </si>
  <si>
    <t>Agentic Reasoning是一个通过集成外部基于LLM的代理作为工具来增强推理的框架，允许LLM在推理过程中将特定任务委派给辅助代理，从而提高整体问题解决能力。
来自: [Agentic Reasoning: A Streamlined Framework for Enhancing LLM Reasoning with Agentic Tools, 第2页, Agentic Reasoning: A Streamlined Framework for Enhancing LLM Reasoning with Agentic Tools_chunk_008]</t>
  </si>
  <si>
    <t>在Humanity's Last Exam数据集上，Agentic Reasoning结合DeepSeek-R1取得了23.8%的准确率，相比基础模型提升了14.4%；与OpenAI Deep Research的差距缩小至仅2.8%。
来自: [Agentic Reasoning: A Streamlined Framework for Enhancing LLM Reasoning with Agentic Tools, 第1页, Agentic Reasoning: A Streamlined Framework for Enhancing LLM Reasoning with Agentic Tools_chunk_004]</t>
  </si>
  <si>
    <t>在GAIA基准测试中，Agentic Reasoning在Level 1上达到74.36%，Level 2上达到69.21%，Level 3上达到45.46%，平均66.13%。与OpenAI Deep Research相比，它在Level 1和Level 2上表现更优，在Level 3上差距缩小至2.26%。
来自: [Agentic Reasoning: A Streamlined Framework for Enhancing LLM Reasoning with Agentic Tools, 第5页, Agentic Reasoning: A Streamlined Framework for Enhancing LLM Reasoning with Agentic Tools_chunk_023] 和 [Agentic Reasoning: A Streamlined Framework for Enhancing LLM Reasoning with Agentic Tools, 第5页, Agentic Reasoning: A Streamlined Framework for Enhancing LLM Reasoning with Agentic Tools_chunk_022]</t>
  </si>
  <si>
    <t>根据已有信息，论文未提供Mind-Map agent的具体神经网络架构，仅说明其通过一个图构建LLM将原始推理链转换为结构化知识图谱，并采用社区聚类与LLM摘要等机制，但未披露该LLM的模型结构、参数规模或训练细节。
来自: [Agentic Reasoning: A Streamlined Framework for Enhancing LLM Reasoning with Agentic Tools, 第3页, Agentic Reasoning: A Streamlined Framework for Enhancing LLM Reasoning with Agentic Tools_chunk_012]</t>
  </si>
  <si>
    <t>REAL-MM-RAG 基准测试旨在解决的四个关键属性是：(i) 多模态文档，(ii) 增强的难度，(iii) 真实的RAG查询，(iv) 准确的标注。
来自: [REAL-MM-RAG:AReal-World Multi-Modal Retrieval Benchmark, 第1页, REAL-MM-RAG:AReal-World Multi-Modal Retrieval Benchmark_chunk_003]</t>
  </si>
  <si>
    <t>ASTUTE RAG是一种新颖的检索增强生成方法，旨在通过自适应引出LLM内部知识、迭代整合内外部知识并基于信息可靠性确定答案，来增强对不完美检索的韧性。它用于解决知识冲突，提高RAG系统在检索不可靠时的鲁棒性和准确性。
来自: [ASTUTE RAG: Overcoming Imperfect Retrieval Augmentation and Knowledge Conflicts for Large Language Models, 第1页, ASTUTE RAG: Overcoming Imperfect Retrieval Augmentation and Knowledge Conflicts for Large Language Models_chunk_001] 和 [ASTUTE RAG: Overcoming Imperfect Retrieval Augmentation and Knowledge Conflicts for Large Language Models, 第5页, ASTUTE RAG: Overcoming Imperfect Retrieval Augmentation and Knowledge Conflicts for Large Language Models_chunk_019]</t>
  </si>
  <si>
    <t>在ASTUTE RAG中，知识整合（knowledge consolidation）过程包含三个主要步骤：合并一致信息、分离冲突信息、过滤无关信息。
来自: [ASTUTE RAG: Overcoming Imperfect Retrieval Augmentation and Knowledge Conflicts for Large Language Models, 第16页, ASTUTE RAG: Overcoming Imperfect Retrieval Augmentation and Knowledge Conflicts for Large Language Models_chunk_046]</t>
  </si>
  <si>
    <t>L-CiteEval是一个开箱即用的评估套件，包含涵盖5大任务类别和11个长上下文任务的多任务基准及自动评估流水线，要求模型生成回答并附上支持性引用。
来自: [L-CiteEval: A Suite for Evaluating Fidelity of Long-context Models, 第2页, L-CiteEval: A Suite for Evaluating Fidelity of Long-context Models_chunk_005]</t>
  </si>
  <si>
    <t>LongBench v2 包含 503 个多项选择题，上下文长度范围从 8k 到 2M 词。
来自: [LongBench v2: Towards Deeper Understanding and Reasoning on Realistic Long-context Multitasks, 第1页, LongBench v2: Towards Deeper Understanding and Reasoning on Realistic Long-context Multitasks_chunk_004] 和 [LongBench v2: Towards Deeper Understanding and Reasoning on Realistic Long-context Multitasks, 第1页, LongBench v2: Towards Deeper Understanding and Reasoning on Realistic Long-context Multitasks_chunk_001]</t>
  </si>
  <si>
    <t>在LongBench v2基准测试中，人类专家在15分钟时间限制下的准确率为53.7%。
来自: [LongBench v2: Towards Deeper Understanding and Reasoning on Realistic Long-context Multitasks, 第1页, LongBench v2: Towards Deeper Understanding and Reasoning on Realistic Long-context Multitasks_chunk_001]</t>
  </si>
  <si>
    <t>RHIO框架的三个主要组成部分是：不忠实数据增强（unfaithful data augmentation）、忠实性感知调优（faithfulness-aware tuning）和自诱导解码（self-induced decoding）。
来自: [Improving Contextual Faithfulness of Large Language Models via Retrieval Heads-Induced Optimization, 第15页, Improving Contextual Faithfulness of Large Language Models via Retrieval Heads-Induced Optimization_chunk_065]</t>
  </si>
  <si>
    <t>论文作者发现，在监督微调阶段，使用标准的短上下文指令数据集（如UltraChat）就足以在长上下文任务上取得最佳性能，而添加长合成指令数据反而没有进一步提升效果。
来自: [How to Train Long-Context Language Models (Effectively), 第2页, How to Train Long-Context Language Models (Effectively)_chunk_006]</t>
  </si>
  <si>
    <t>LongRefiner 通过将推理过程拆分为离线与在线两个阶段来降低在线延迟：离线阶段预先对语料库中的文档执行层次化结构构建任务，在线阶段仅需分析用户查询并进行自适应精炼，由于在线阶段只处理数百个输入 token 并生成数十个输出 token，整体延迟仅为标准设置的约 25%。
来自: [Hierarchical Document Refinement for Long-context Retrieval-augmented Generation, 第6页, Hierarchical Document Refinement for Long-context Retrieval-augmented Generation_chunk_030]</t>
  </si>
  <si>
    <t>DRAG框架通过本地模型重新表述用户查询，剥离其中的敏感信息，然后将去标识化的查询发送给云端教师模型；云端模型仅返回相关的证据和知识图谱，而非直接生成答案；本地模型再利用这些结构化知识生成最终回答，从而确保敏感数据始终保留在本地，有效保护隐私。
来自: [DRAG: Distilling RAG for SLMs from LLMs to Transfer Knowledge and Mitigate Hallucination via Evidence and Graph-based Distillation, 第1页, DRAG: Distilling RAG for SLMs from LLMs to Transfer Knowledge and Mitigate Hallucination via Evidence and Graph-based Distillation_chunk_004] 和 [DRAG: Distilling RAG for SLMs from LLMs to Transfer Knowledge and Mitigate Hallucination via Evidence and Graph-based Distillation, 第5页, DRAG: Distilling RAG for SLMs from LLMs to Transfer Knowledge and Mitigate Hallucination via Evidence and Graph-based Distillation_chunk_025]</t>
  </si>
  <si>
    <t>SG-MCTS在每次迭代中依次执行选择、反思引导的扩展、评估和反向传播四个步骤。在扩展阶段，它利用LLM的自我反思能力对中间状态进行实时批评与细化，以引导树扩展并主动避开错误生成路径；评估阶段则通过Progress Reward Modeling从生成进度和归因进度两方面衡量搜索进度，为搜索过程提供可靠反馈。
来自: [Think&amp;Cite: Improving Attributed Text Generation with Self-Guided Tree Search and Progress Reward Modeling, 第3页, Think&amp;Cite: Improving Attributed Text Generation with Self-Guided Tree Search and Progress Reward Modeling_chunk_014]
来自: [Think&amp;Cite: Improving Attributed Text Generation with Self-Guided Tree Search and Progress Reward Modeling, 第3页, Think&amp;Cite: Improving Attributed Text Generation with Self-Guided Tree Search and Progress Reward Modeling_chunk_013]
来自: [Think&amp;Cite: Improving Attributed Text Generation with Self-Guided Tree Search and Progress Reward Modeling, 第1页, Think&amp;Cite: Improving Attributed Text Generation with Self-Guided Tree Search and Progress Reward Modeling_chunk_003]</t>
  </si>
  <si>
    <t>三个步骤：1) 枚举回答查询所需的关键信息需求；2) 为每个需求识别包含相关信息的段落；3) 选择能共同提供最全面和多样化覆盖的段落子集以有效回答查询。
来自: [Shifting from Ranking to Set Selection for Retrieval Augmented Generation, 第4页, Shifting from Ranking to Set Selection for Retrieval Augmented Generation_chunk_015]</t>
  </si>
  <si>
    <t>α的最优范围在0.65到0.8之间。该参数用于平衡工具描述和参数描述在工具检索中的权重，其中工具描述的作用相对更显著。
来自: [Meta-Tool: Unleash Open-World Function Calling Capabilities of General-Purpose Large Language Models, 第20页, Meta-Tool: Unleash Open-World Function Calling Capabilities of General-Purpose Large Language Models_chunk_071]</t>
  </si>
  <si>
    <t>CypherBench 首先为每个领域策划特定的模式（schema），然后通过执行 SPARQL 查询从 RDF 图（如 Wikidata）中提取符合该模式的所有实体和关系并聚合结果，同时由转换层负责数据类型转换和单位标准化，最终生成模式强制、严格类型的属性图视图。
来自: [CYPHERBENCH: Towards Precise Retrieval over Full-scale Modern Knowledge Graphs in the LLM Era, 第4页, CYPHERBENCH: Towards Precise Retrieval over Full-scale Modern Knowledge Graphs in the LLM Era_chunk_017]、[CYPHERBENCH: Towards Precise Retrieval over Full-scale Modern Knowledge Graphs in the LLM Era, 第4页, CYPHERBENCH: Towards Precise Retrieval over Full-scale Modern Knowledge Graphs in the LLM Era_chunk_016]、[CYPHERBENCH: Towards Precise Retrieval over Full-scale Modern Knowledge Graphs in the LLM Era, 第2页, CYPHERBENCH: Towards Precise Retrieval over Full-scale Modern Knowledge Graphs in the LLM Era_chunk_007]</t>
  </si>
  <si>
    <t>ClinRaGen的三阶段理由蒸馏范式为：第一阶段蒸馏基于医疗笔记的理由，让SLM建立对文本临床信息的基础理解；第二阶段引入知识增强注意力，将数值实验室测试与结构化医学知识对齐，以蒸馏基于实验室测试的理由；第三阶段完全整合文本和数值输入，使SLM生成临床连贯的多模态理由。
来自: [Knowledge-Augmented Multimodal Clinical Rationale Generation for Disease Diagnosis with Small Language Models, 第4页, Knowledge-Augmented Multimodal Clinical Rationale Generation for Disease Diagnosis with Small Language Models_chunk_016]</t>
  </si>
  <si>
    <t>QAEncoder从查询中心视角出发，为每个文档生成一组多样化的查询，并用这些查询嵌入的期望来替换原始文档嵌入，从而创建语义对齐的表示；同时引入文档指纹策略来保证文档的可区分性。
来自: [QAEncoder: Towards Aligned Representation Learning in Question Answering Systems, 第5页, QAEncoder: Towards Aligned Representation Learning in Question Answering Systems_chunk_019] [QAEncoder: Towards Aligned Representation Learning in Question Answering Systems, 第9页, QAEncoder: Towards Aligned Representation Learning in Question Answering Systems_chunk_060]</t>
  </si>
  <si>
    <t>QAEncoder侧重于优化QA系统工作流中的**检索阶段**，其核心痛点是**文档与查询之间的语义差距（document-query gap）**，即用户查询与待检索文档在词汇、句法、语义和内容维度上的不匹配。  
On Synthesizing Data for Context Attribution in Question Answering则侧重于优化**回答生成后的上下文归因阶段**，其核心痛点是**上下文归因的鲁棒性不足以及对大规模人工标注数据的依赖**，旨在提升模型指出答案依据来源的能力。
来自: [QAEncoder: Towards Aligned Representation Learning in Question Answering Systems, 第2页, QAEncoder: Towards Aligned Representation Learning in Question Answering Systems_chunk_007]  
来自: [QAEncoder: Towards Aligned Representation Learning in Question Answering Systems, 第1页, QAEncoder: Towards Aligned Representation Learning in Question Answering Systems_chunk_002]  
来自: [On Synthesizing Data for Context Attribution in Question Answering, 第17页, On Synthesizing Data for Context Attribution in Question Answering_chunk_071]  
来自: [On Synthesizing Data for Context Attribution in Question Answering, 第2页, On Synthesizing Data for Context Attribution in Question Answering_chunk_008]</t>
  </si>
  <si>
    <t>在 HALOGEN 的文本简化任务中，验证方法与摘要任务相同：先用 GPT-3.5 将生成的简化文本分解为独立的原子事实，再用 Llama-2-70B 判断每个原子事实是否被原文蕴含（entailment）。
来自: [HALOGEN :FantasticLLMHallucinations and Where to Find Them, 第3页, HALOGEN :FantasticLLMHallucinations and Where to Find Them_chunk_017]</t>
  </si>
  <si>
    <t>在 HALoGEN 基准测试中，表现最好的 LLM 生成事实的幻觉率范围是 3% 到 86%，具体取决于领域。
来自: [HALOGEN :FantasticLLMHallucinations and Where to Find Them, 第5页, HALOGEN :FantasticLLMHallucinations and Where to Find Them_chunk_030]</t>
  </si>
  <si>
    <t>在Cited scenario中，GPT-4o是表现最好的模型，而Llama-3-70b与GPT-4o-mini相当；在Full scenario中，Llama-3-70b优于GPT-4o，达到最佳性能。
来自: [CiteEval: Principle-Driven Citation Evaluation for Source Attribution, 第8页, CiteEval: Principle-Driven Citation Evaluation for Source Attribution_chunk_041]</t>
  </si>
  <si>
    <t>FaithfulRAG在FaithEval数据集上使用Mistral-7B作为backbone的准确率为81.7%，相比最强基线KRE的73.2%提高了8.5%。
来自: [FaithfulRAG: Fact-Level Conflict Modeling for Context-Faithful Retrieval-Augmented Generation, 第7页, FaithfulRAG: Fact-Level Conflict Modeling for Context-Faithful Retrieval-Augmented Generation_chunk_037]</t>
  </si>
  <si>
    <t>《Astute RAG》通过自适应引出（adaptively elicits）机制来提取大模型内部知识，未明确命名具体模块；《FaithfulRAG》则采用名为“Self-Fact Mining”（自我事实挖掘）的模块，将模型的参数化知识具体化为事实级别的细粒度知识。
来自: [ASTUTE RAG: Overcoming Imperfect Retrieval Augmentation and Knowledge Conflicts for Large Language Models, 第2页, ASTUTE RAG: Overcoming Imperfect Retrieval Augmentation and Knowledge Conflicts for Large Language Models_chunk_007] 和 [FaithfulRAG: Fact-Level Conflict Modeling for Context-Faithful Retrieval-Augmented Generation, 第2页, FaithfulRAG: Fact-Level Conflict Modeling for Context-Faithful Retrieval-Augmented Generation_chunk_007]</t>
  </si>
  <si>
    <t>RankCoT 相比 vanilla RAG 模型实现了 2.5% 的性能提升，这表明 RankCoT 能够提供更有意义的精炼知识，从而帮助大语言模型更好地回答问题。
来自: [RankCoT: Refining Knowledge for Retrieval-Augmented Generation through Ranking Chain-of-Thoughts, 第6页, RankCoT: Refining Knowledge for Retrieval-Augmented Generation through Ranking Chain-of-Thoughts_chunk_036]</t>
  </si>
  <si>
    <t>AGENTSTAR在WebShop、ALFWorld和BabyAI任务上分别比GPT-4-Turbo高出61.00分、20.50分和9.87分。
来自: [AGENTGYM: Evaluating and Training Large Language Model-based Agents across Diverse Environments, 第7页, AGENTGYM: Evaluating and Training Large Language Model-based Agents across Diverse Environments_chunk_045]</t>
  </si>
  <si>
    <t>LongBench v2 是一个专注于评估大模型在长上下文（8k–2M词）下深度理解与推理能力的多任务基准测试，覆盖单文档/多文档问答、长上下文学习、长对话历史理解、代码仓库理解、长结构化数据理解等场景。  
AGENTGYM 则是一个面向大模型智能体的交互式框架，用于在网页导航、文本游戏、家务任务、数字游戏、具身任务、工具使用和编程等 14 个环境、89 个任务中进行统一的评估与训练。  
两者的核心区别在于：LongBench v2 聚焦于**长文本理解与推理的静态评测**，而 AGENTGYM 聚焦于**多环境下的智能体交互与学习**。
来自: [LongBench v2: Towards Deeper Understanding and Reasoning on Realistic Long-context Multitasks, 第1页, LongBench v2: Towards Deeper Understanding and Reasoning on Realistic Long-context Multitasks_chunk_001]  
来自: [LongBench v2: Towards Deeper Understanding and Reasoning on Realistic Long-context Multitasks, 第1页, LongBench v2: Towards Deeper Understanding and Reasoning on Realistic Long-context Multitasks_chunk_004]  
来自: [AGENTGYM: Evaluating and Training Large Language Model-based Agents across Diverse Environments, 第1页, AGENTGYM: Evaluating and Training Large Language Model-based Agents across Diverse Environments_chunk_006]  
来自: [AGENTGYM: Evaluating and Training Large Language Model-based Agents across Diverse Environments, 第1页, AGENTGYM: Evaluating and Training Large Language Model-based Agents across Diverse Environments_chunk_004]</t>
  </si>
  <si>
    <t>在Asclepius基准测试中，人类医生在所有医学专业上的平均准确率均高于Med‑MLLMs，但人类医生在不同专业间的表现差异较大，而Med‑MLLMs的跨专业表现差异明显更小。GPT‑4V是表现最好的Med‑MLLM，其平均准确率最接近人类医生，甚至略超某位医生，但整体仍低于人类平均水平，与初级医生相当。
来自: [Asclepius: A Spectrum Evaluation Benchmark for Medical Multi-Modal Large Language Models, 第7页, Asclepius: A Spectrum Evaluation Benchmark for Medical Multi-Modal Large Language Models_chunk_032]
来自: [Asclepius: A Spectrum Evaluation Benchmark for Medical Multi-Modal Large Language Models, 第15页, Asclepius: A Spectrum Evaluation Benchmark for Medical Multi-Modal Large Language Models_chunk_048]
来自: [Asclepius: A Spectrum Evaluation Benchmark for Medical Multi-Modal Large Language Models, 第7页, Asclepius: A Spectrum Evaluation Benchmark for Medical Multi-Modal Large Language Models_chunk_029]</t>
  </si>
  <si>
    <t>在LongDocURL基准测试中，GPT-4o得分64.5，是表现最佳的模型，也是唯一达到及格标准的模型。开源模型中，最佳得分仅为30.6（由Qwen2-VL获得），其他开源模型如LLaVA-OneVision得分在22.0至25.0之间。
来自: [LongDocURL: a Comprehensive Multimodal Long Document Benchmark Integrating Understanding, Reasoning, and Locating, 第2页, LongDocURL: a Comprehensive Multimodal Long Document Benchmark Integrating Understanding, Reasoning, and Locating_chunk_007] 和 [LongDocURL: a Comprehensive Multimodal Long Document Benchmark Integrating Understanding, Reasoning, and Locating, 第6页, LongDocURL: a Comprehensive Multimodal Long Document Benchmark Integrating Understanding, Reasoning, and Locating_chunk_026]</t>
  </si>
  <si>
    <t>RAGEval 使用 LLM 对提出的完整性、幻觉和无关性指标进行评分，结果显示与人工评估具有高度一致性。
来自: [RAGEval: Scenario Specific RAG Evaluation Dataset Generation Framework, 第1页, RAGEval: Scenario Specific RAG Evaluation Dataset Generation Framework_chunk_001]</t>
  </si>
  <si>
    <t>UniRAG的核心创新在于提出了一个统一的查询理解框架，将查询增强与编码集成到单一解码器模型中，消除任务分离，并通过自适应选择最优增强策略（如查询改写、扩展、抽象）来提升检索性能。FaithfulRAG的核心创新则聚焦于生成阶段，通过事实级别的自我思考模块识别并解决参数知识与检索上下文之间的冲突，确保生成内容的忠实性，其设计并非直接针对查询理解环节。
来自: [UniRAG: Unified Query Understanding Method for Retrieval Augmented Generation, 第1页, UniRAG: Unified Query Understanding Method for Retrieval Augmented Generation_chunk_001]  
来自: [FaithfulRAG: Fact-Level Conflict Modeling for Context-Faithful Retrieval-Augmented Generation, 第9页, FaithfulRAG: Fact-Level Conflict Modeling for Context-Faithful Retrieval-Augmented Generation_chunk_050]</t>
  </si>
  <si>
    <t>MEMERAG和DragonBall都是为RAG系统设计的基准，且都支持多语言评估。但它们的评估维度有本质区别：DragonBall主要关注**检索阶段**的性能，通过Recall和EIR等指标评估检索模型在特定领域（金融、法律、医疗）中英文本上的表现；而MEMERAG则是一个**元评估基准**，关注**生成阶段**的评估，通过人类专家对生成回答进行句子级别的忠实度和相关性标注，用于开发和评估自动化评估器与人类判断的相关性。
来自: [RAGEval: Scenario Specific RAG Evaluation Dataset Generation Framework, 第4页, RAGEval: Scenario Specific RAG Evaluation Dataset Generation Framework_chunk_018]
来自: [RAGEval: Scenario Specific RAG Evaluation Dataset Generation Framework, 第17页, RAGEval: Scenario Specific RAG Evaluation Dataset Generation Framework_chunk_064]
来自: [MEMERAG:AMultilingual End-to-End Meta-Evaluation Benchmark for Retrieval Augmented Generation, 第3页, MEMERAG:AMultilingual End-to-End Meta-Evaluation Benchmark for Retrieval Augmented Generation_chunk_014]</t>
  </si>
  <si>
    <t>Agentic Reasoning 的核心机制是集成外部 LLM 代理（包括 Web-Search、Code 和 Mind-Map）作为工具来增强推理能力。AR-MCTS 的核心机制是通过主动检索（Active Retrieval）和蒙特卡洛树搜索（MCTS）来逐步提升多模态推理能力。
来自: [Agentic Reasoning: A Streamlined Framework for Enhancing LLM Reasoning with Agentic Tools, 第2页, Agentic Reasoning: A Streamlined Framework for Enhancing LLM Reasoning with Agentic Tools_chunk_008]
来自: [Agentic Reasoning: A Streamlined Framework for Enhancing LLM Reasoning with Agentic Tools, 第1页, Agentic Reasoning: A Streamlined Framework for Enhancing LLM Reasoning with Agentic Tools_chunk_000]</t>
  </si>
  <si>
    <t>MAIN-RAG 采用免训练的多智能体过滤方法，通过多个LLM智能体协作过滤和评分检索文档，并动态调整相关性阈值以减少噪声。RAG-Critic 采用批评家引导的智能体工作流，通过数据驱动的错误挖掘建立分层错误系统，训练错误批评模型，并基于错误反馈自动定制解决方案流进行错误纠正。
来自: [MAIN-RAG: Multi-Agent Filtering Retrieval-Augmented Generation, 第1页, MAIN-RAG: Multi-Agent Filtering Retrieval-Augmented Generation_chunk_006]
来自: [RAG-Critic: Leveraging Automated Critic-Guided Agentic Workflow for Retrieval Augmented Generation, 第9页, RAG-Critic: Leveraging Automated Critic-Guided Agentic Workflow for Retrieval Augmented Generation_chunk_047]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</si>
</sst>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2"/>
      <charset val="161"/>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3" workbookViewId="0">
      <selection activeCell="F44" sqref="F44"/>
    </sheetView>
  </sheetViews>
  <sheetFormatPr defaultRowHeight="14" x14ac:dyDescent="0.25"/>
  <cols>
    <col min="1" max="1" width="16.6328125" style="2" customWidth="1"/>
    <col min="2" max="2" width="8.81640625" style="2" customWidth="1"/>
    <col min="3" max="4" width="16.63281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24" x14ac:dyDescent="0.25">
      <c r="A2" s="2" t="s">
        <v>15</v>
      </c>
      <c r="B2" s="2" t="s">
        <v>16</v>
      </c>
      <c r="C2" s="2" t="s">
        <v>17</v>
      </c>
      <c r="D2" s="2" t="s">
        <v>121</v>
      </c>
      <c r="E2" s="2">
        <v>1</v>
      </c>
      <c r="F2" s="2">
        <v>1</v>
      </c>
      <c r="G2" s="2">
        <v>1</v>
      </c>
      <c r="H2" s="2">
        <v>1</v>
      </c>
      <c r="I2" s="4">
        <v>1</v>
      </c>
      <c r="J2" s="2">
        <v>1</v>
      </c>
      <c r="K2" s="2" t="b">
        <v>0</v>
      </c>
      <c r="L2" s="2">
        <v>3</v>
      </c>
      <c r="M2" s="2">
        <v>0</v>
      </c>
      <c r="N2" s="2">
        <v>0</v>
      </c>
    </row>
    <row r="3" spans="1:15" ht="140" x14ac:dyDescent="0.25">
      <c r="A3" s="2" t="s">
        <v>18</v>
      </c>
      <c r="B3" s="2" t="s">
        <v>16</v>
      </c>
      <c r="C3" s="2" t="s">
        <v>19</v>
      </c>
      <c r="D3" s="2" t="s">
        <v>122</v>
      </c>
      <c r="E3" s="2">
        <v>1</v>
      </c>
      <c r="F3" s="2">
        <v>1</v>
      </c>
      <c r="G3" s="2">
        <v>1</v>
      </c>
      <c r="H3" s="2">
        <v>1</v>
      </c>
      <c r="I3" s="4">
        <v>1</v>
      </c>
      <c r="J3" s="2">
        <v>1</v>
      </c>
      <c r="K3" s="2" t="b">
        <v>0</v>
      </c>
      <c r="L3" s="2">
        <v>1</v>
      </c>
      <c r="M3" s="2">
        <v>0</v>
      </c>
      <c r="N3" s="2">
        <v>0</v>
      </c>
    </row>
    <row r="4" spans="1:15" ht="336" x14ac:dyDescent="0.25">
      <c r="A4" s="2" t="s">
        <v>20</v>
      </c>
      <c r="B4" s="2" t="s">
        <v>16</v>
      </c>
      <c r="C4" s="2" t="s">
        <v>21</v>
      </c>
      <c r="D4" s="2" t="s">
        <v>123</v>
      </c>
      <c r="E4" s="2">
        <v>1</v>
      </c>
      <c r="F4" s="2">
        <v>1</v>
      </c>
      <c r="G4" s="2">
        <v>1</v>
      </c>
      <c r="H4" s="2">
        <v>1</v>
      </c>
      <c r="I4" s="4">
        <v>1</v>
      </c>
      <c r="J4" s="2">
        <v>1</v>
      </c>
      <c r="K4" s="2" t="b">
        <v>0</v>
      </c>
      <c r="L4" s="2">
        <v>1</v>
      </c>
      <c r="M4" s="2">
        <v>0</v>
      </c>
      <c r="N4" s="2">
        <v>0</v>
      </c>
    </row>
    <row r="5" spans="1:15" ht="308" x14ac:dyDescent="0.25">
      <c r="A5" s="2" t="s">
        <v>22</v>
      </c>
      <c r="B5" s="2" t="s">
        <v>16</v>
      </c>
      <c r="C5" s="2" t="s">
        <v>23</v>
      </c>
      <c r="D5" s="2" t="s">
        <v>124</v>
      </c>
      <c r="E5" s="2">
        <v>1</v>
      </c>
      <c r="F5" s="2">
        <v>1</v>
      </c>
      <c r="G5" s="2">
        <v>1</v>
      </c>
      <c r="H5" s="2">
        <v>1</v>
      </c>
      <c r="I5" s="4">
        <v>1</v>
      </c>
      <c r="J5" s="2">
        <v>0.8</v>
      </c>
      <c r="K5" s="2" t="b">
        <v>0</v>
      </c>
      <c r="L5" s="2">
        <v>2</v>
      </c>
      <c r="M5" s="2">
        <v>0</v>
      </c>
      <c r="N5" s="2">
        <v>1</v>
      </c>
    </row>
    <row r="6" spans="1:15" ht="322" x14ac:dyDescent="0.25">
      <c r="A6" s="2" t="s">
        <v>24</v>
      </c>
      <c r="B6" s="2" t="s">
        <v>16</v>
      </c>
      <c r="C6" s="2" t="s">
        <v>25</v>
      </c>
      <c r="D6" s="2" t="s">
        <v>125</v>
      </c>
      <c r="E6" s="2">
        <v>0</v>
      </c>
      <c r="F6" s="2">
        <v>1</v>
      </c>
      <c r="G6" s="2">
        <v>1</v>
      </c>
      <c r="H6" s="2">
        <v>0.33333333333333331</v>
      </c>
      <c r="I6" s="4">
        <v>1</v>
      </c>
      <c r="J6" s="2">
        <v>0.85699999999999998</v>
      </c>
      <c r="K6" s="2" t="b">
        <v>0</v>
      </c>
      <c r="L6" s="2">
        <v>3</v>
      </c>
      <c r="M6" s="2">
        <v>0</v>
      </c>
      <c r="N6" s="2">
        <v>1</v>
      </c>
    </row>
    <row r="7" spans="1:15" ht="280" x14ac:dyDescent="0.25">
      <c r="A7" s="2" t="s">
        <v>26</v>
      </c>
      <c r="B7" s="2" t="s">
        <v>16</v>
      </c>
      <c r="C7" s="2" t="s">
        <v>27</v>
      </c>
      <c r="D7" s="2" t="s">
        <v>126</v>
      </c>
      <c r="E7" s="2">
        <v>1</v>
      </c>
      <c r="F7" s="2">
        <v>1</v>
      </c>
      <c r="G7" s="2">
        <v>1</v>
      </c>
      <c r="H7" s="2">
        <v>1</v>
      </c>
      <c r="I7" s="4">
        <v>1</v>
      </c>
      <c r="J7" s="2">
        <v>0.66700000000000004</v>
      </c>
      <c r="K7" s="2" t="b">
        <v>0</v>
      </c>
      <c r="L7" s="2">
        <v>1</v>
      </c>
      <c r="M7" s="2">
        <v>0</v>
      </c>
      <c r="N7" s="2">
        <v>1</v>
      </c>
    </row>
    <row r="8" spans="1:15" ht="252" x14ac:dyDescent="0.25">
      <c r="A8" s="2" t="s">
        <v>28</v>
      </c>
      <c r="B8" s="2" t="s">
        <v>16</v>
      </c>
      <c r="C8" s="2" t="s">
        <v>29</v>
      </c>
      <c r="D8" s="2" t="s">
        <v>127</v>
      </c>
      <c r="E8" s="2">
        <v>1</v>
      </c>
      <c r="F8" s="2">
        <v>1</v>
      </c>
      <c r="G8" s="2">
        <v>1</v>
      </c>
      <c r="H8" s="2">
        <v>1</v>
      </c>
      <c r="I8" s="4">
        <v>1</v>
      </c>
      <c r="J8" s="2">
        <v>1</v>
      </c>
      <c r="K8" s="2" t="b">
        <v>0</v>
      </c>
      <c r="L8" s="2">
        <v>1</v>
      </c>
      <c r="M8" s="2">
        <v>0</v>
      </c>
      <c r="N8" s="2">
        <v>0</v>
      </c>
    </row>
    <row r="9" spans="1:15" ht="210" x14ac:dyDescent="0.25">
      <c r="A9" s="2" t="s">
        <v>30</v>
      </c>
      <c r="B9" s="2" t="s">
        <v>16</v>
      </c>
      <c r="C9" s="2" t="s">
        <v>31</v>
      </c>
      <c r="D9" s="2" t="s">
        <v>131</v>
      </c>
      <c r="E9" s="2">
        <v>1</v>
      </c>
      <c r="F9" s="2">
        <v>1</v>
      </c>
      <c r="G9" s="2">
        <v>1</v>
      </c>
      <c r="H9" s="2">
        <v>1</v>
      </c>
      <c r="I9" s="4">
        <v>1</v>
      </c>
      <c r="J9" s="2">
        <v>1</v>
      </c>
      <c r="K9" s="2" t="b">
        <v>0</v>
      </c>
      <c r="L9" s="2">
        <v>4</v>
      </c>
      <c r="M9" s="2">
        <v>0</v>
      </c>
      <c r="N9" s="2">
        <v>0</v>
      </c>
    </row>
    <row r="10" spans="1:15" ht="350" x14ac:dyDescent="0.25">
      <c r="A10" s="2" t="s">
        <v>32</v>
      </c>
      <c r="B10" s="2" t="s">
        <v>16</v>
      </c>
      <c r="C10" s="2" t="s">
        <v>33</v>
      </c>
      <c r="D10" s="2" t="s">
        <v>132</v>
      </c>
      <c r="E10" s="2">
        <v>1</v>
      </c>
      <c r="F10" s="2">
        <v>1</v>
      </c>
      <c r="G10" s="2">
        <v>1</v>
      </c>
      <c r="H10" s="2">
        <v>1</v>
      </c>
      <c r="I10" s="4">
        <v>1</v>
      </c>
      <c r="J10" s="2">
        <v>1</v>
      </c>
      <c r="K10" s="2" t="b">
        <v>0</v>
      </c>
      <c r="L10" s="2">
        <v>3</v>
      </c>
      <c r="M10" s="2">
        <v>0</v>
      </c>
      <c r="N10" s="2">
        <v>0</v>
      </c>
    </row>
    <row r="11" spans="1:15" ht="308" x14ac:dyDescent="0.25">
      <c r="A11" s="2" t="s">
        <v>34</v>
      </c>
      <c r="B11" s="2" t="s">
        <v>16</v>
      </c>
      <c r="C11" s="2" t="s">
        <v>35</v>
      </c>
      <c r="D11" s="2" t="s">
        <v>134</v>
      </c>
      <c r="E11" s="2">
        <v>1</v>
      </c>
      <c r="F11" s="2">
        <v>1</v>
      </c>
      <c r="G11" s="2">
        <v>1</v>
      </c>
      <c r="H11" s="2">
        <v>1</v>
      </c>
      <c r="I11" s="4">
        <v>0</v>
      </c>
      <c r="J11" s="2">
        <v>0.85699999999999998</v>
      </c>
      <c r="K11" s="2" t="b">
        <v>0</v>
      </c>
      <c r="L11" s="2">
        <v>3</v>
      </c>
      <c r="M11" s="2">
        <v>0</v>
      </c>
      <c r="N11" s="2">
        <v>1</v>
      </c>
    </row>
    <row r="12" spans="1:15" ht="238" x14ac:dyDescent="0.25">
      <c r="A12" s="2" t="s">
        <v>36</v>
      </c>
      <c r="B12" s="2" t="s">
        <v>16</v>
      </c>
      <c r="C12" s="2" t="s">
        <v>37</v>
      </c>
      <c r="D12" s="2" t="s">
        <v>135</v>
      </c>
      <c r="E12" s="2">
        <v>1</v>
      </c>
      <c r="F12" s="2">
        <v>1</v>
      </c>
      <c r="G12" s="2">
        <v>1</v>
      </c>
      <c r="H12" s="2">
        <v>1</v>
      </c>
      <c r="I12" s="4">
        <v>1</v>
      </c>
      <c r="J12" s="2">
        <v>1</v>
      </c>
      <c r="K12" s="2" t="b">
        <v>0</v>
      </c>
      <c r="L12" s="2">
        <v>2</v>
      </c>
      <c r="M12" s="2">
        <v>0</v>
      </c>
      <c r="N12" s="2">
        <v>0</v>
      </c>
    </row>
    <row r="13" spans="1:15" ht="409.5" x14ac:dyDescent="0.25">
      <c r="A13" s="2" t="s">
        <v>38</v>
      </c>
      <c r="B13" s="2" t="s">
        <v>16</v>
      </c>
      <c r="C13" s="2" t="s">
        <v>39</v>
      </c>
      <c r="D13" s="2" t="s">
        <v>137</v>
      </c>
      <c r="E13" s="2">
        <v>1</v>
      </c>
      <c r="F13" s="2">
        <v>1</v>
      </c>
      <c r="G13" s="2">
        <v>1</v>
      </c>
      <c r="H13" s="2">
        <v>1</v>
      </c>
      <c r="I13" s="4">
        <v>1</v>
      </c>
      <c r="J13" s="2">
        <v>1</v>
      </c>
      <c r="K13" s="2" t="b">
        <v>0</v>
      </c>
      <c r="L13" s="2">
        <v>3</v>
      </c>
      <c r="M13" s="2">
        <v>0</v>
      </c>
      <c r="N13" s="2">
        <v>0</v>
      </c>
    </row>
    <row r="14" spans="1:15" ht="336" x14ac:dyDescent="0.25">
      <c r="A14" s="2" t="s">
        <v>40</v>
      </c>
      <c r="B14" s="2" t="s">
        <v>41</v>
      </c>
      <c r="C14" s="2" t="s">
        <v>42</v>
      </c>
      <c r="D14" s="2" t="s">
        <v>138</v>
      </c>
      <c r="E14" s="2">
        <v>1</v>
      </c>
      <c r="F14" s="2">
        <v>1</v>
      </c>
      <c r="G14" s="2">
        <v>1</v>
      </c>
      <c r="H14" s="2">
        <v>1</v>
      </c>
      <c r="I14" s="4">
        <v>0</v>
      </c>
      <c r="J14" s="2">
        <v>1</v>
      </c>
      <c r="K14" s="2" t="b">
        <v>0</v>
      </c>
      <c r="L14" s="2">
        <v>1</v>
      </c>
      <c r="M14" s="2">
        <v>0</v>
      </c>
      <c r="N14" s="2">
        <v>0</v>
      </c>
    </row>
    <row r="15" spans="1:15" ht="238" x14ac:dyDescent="0.25">
      <c r="A15" s="2" t="s">
        <v>43</v>
      </c>
      <c r="B15" s="2" t="s">
        <v>41</v>
      </c>
      <c r="C15" s="2" t="s">
        <v>44</v>
      </c>
      <c r="D15" s="2" t="s">
        <v>133</v>
      </c>
      <c r="E15" s="2">
        <v>1</v>
      </c>
      <c r="F15" s="2">
        <v>1</v>
      </c>
      <c r="G15" s="2">
        <v>1</v>
      </c>
      <c r="H15" s="2">
        <v>1</v>
      </c>
      <c r="I15" s="4">
        <v>1</v>
      </c>
      <c r="J15" s="2">
        <v>1</v>
      </c>
      <c r="K15" s="2" t="b">
        <v>0</v>
      </c>
      <c r="L15" s="2">
        <v>3</v>
      </c>
      <c r="M15" s="2">
        <v>0</v>
      </c>
      <c r="N15" s="2">
        <v>0</v>
      </c>
    </row>
    <row r="16" spans="1:15" ht="409.5" x14ac:dyDescent="0.25">
      <c r="A16" s="2" t="s">
        <v>45</v>
      </c>
      <c r="B16" s="2" t="s">
        <v>41</v>
      </c>
      <c r="C16" s="2" t="s">
        <v>46</v>
      </c>
      <c r="D16" s="2" t="s">
        <v>139</v>
      </c>
      <c r="E16" s="2">
        <v>1</v>
      </c>
      <c r="F16" s="2">
        <v>1</v>
      </c>
      <c r="G16" s="2">
        <v>1</v>
      </c>
      <c r="H16" s="2">
        <v>1</v>
      </c>
      <c r="I16" s="4">
        <v>1</v>
      </c>
      <c r="J16" s="2">
        <v>1</v>
      </c>
      <c r="K16" s="2" t="b">
        <v>0</v>
      </c>
      <c r="L16" s="2">
        <v>3</v>
      </c>
      <c r="M16" s="2">
        <v>0</v>
      </c>
      <c r="N16" s="2">
        <v>0</v>
      </c>
    </row>
    <row r="17" spans="1:14" ht="364" x14ac:dyDescent="0.25">
      <c r="A17" s="2" t="s">
        <v>47</v>
      </c>
      <c r="B17" s="2" t="s">
        <v>41</v>
      </c>
      <c r="C17" s="2" t="s">
        <v>120</v>
      </c>
      <c r="D17" s="2" t="s">
        <v>140</v>
      </c>
      <c r="E17" s="2">
        <v>0</v>
      </c>
      <c r="F17" s="2">
        <v>1</v>
      </c>
      <c r="G17" s="2">
        <v>1</v>
      </c>
      <c r="H17" s="2">
        <v>0.33333333333333331</v>
      </c>
      <c r="I17" s="4">
        <v>0.5</v>
      </c>
      <c r="J17" s="2">
        <v>1</v>
      </c>
      <c r="K17" s="2" t="b">
        <v>0</v>
      </c>
      <c r="L17" s="2">
        <v>2</v>
      </c>
      <c r="M17" s="2">
        <v>0</v>
      </c>
      <c r="N17" s="2">
        <v>0</v>
      </c>
    </row>
    <row r="18" spans="1:14" ht="409.5" x14ac:dyDescent="0.25">
      <c r="A18" s="2" t="s">
        <v>48</v>
      </c>
      <c r="B18" s="2" t="s">
        <v>41</v>
      </c>
      <c r="C18" s="2" t="s">
        <v>49</v>
      </c>
      <c r="D18" s="2" t="s">
        <v>141</v>
      </c>
      <c r="E18" s="2">
        <v>1</v>
      </c>
      <c r="F18" s="2">
        <v>1</v>
      </c>
      <c r="G18" s="2">
        <v>1</v>
      </c>
      <c r="H18" s="2">
        <v>1</v>
      </c>
      <c r="I18" s="4">
        <v>0.66700000000000004</v>
      </c>
      <c r="J18" s="2">
        <v>0.8</v>
      </c>
      <c r="K18" s="2" t="b">
        <v>0</v>
      </c>
      <c r="L18" s="2">
        <v>2</v>
      </c>
      <c r="M18" s="2">
        <v>0</v>
      </c>
      <c r="N18" s="2">
        <v>1</v>
      </c>
    </row>
    <row r="19" spans="1:14" ht="350" x14ac:dyDescent="0.25">
      <c r="A19" s="2" t="s">
        <v>50</v>
      </c>
      <c r="B19" s="2" t="s">
        <v>41</v>
      </c>
      <c r="C19" s="2" t="s">
        <v>51</v>
      </c>
      <c r="D19" s="2" t="s">
        <v>142</v>
      </c>
      <c r="E19" s="2">
        <v>0</v>
      </c>
      <c r="F19" s="2">
        <v>1</v>
      </c>
      <c r="G19" s="2">
        <v>1</v>
      </c>
      <c r="H19" s="2">
        <v>0.5</v>
      </c>
      <c r="I19" s="4">
        <v>1</v>
      </c>
      <c r="J19" s="2">
        <v>1</v>
      </c>
      <c r="K19" s="2" t="b">
        <v>0</v>
      </c>
      <c r="L19" s="2">
        <v>3</v>
      </c>
      <c r="M19" s="2">
        <v>0</v>
      </c>
      <c r="N19" s="2">
        <v>0</v>
      </c>
    </row>
    <row r="20" spans="1:14" ht="211" x14ac:dyDescent="0.25">
      <c r="A20" s="2" t="s">
        <v>52</v>
      </c>
      <c r="B20" s="2" t="s">
        <v>41</v>
      </c>
      <c r="C20" s="2" t="s">
        <v>53</v>
      </c>
      <c r="D20" s="6" t="s">
        <v>143</v>
      </c>
      <c r="E20" s="2">
        <v>1</v>
      </c>
      <c r="F20" s="2">
        <v>1</v>
      </c>
      <c r="G20" s="2">
        <v>1</v>
      </c>
      <c r="H20" s="2">
        <v>1</v>
      </c>
      <c r="I20" s="4">
        <v>1</v>
      </c>
      <c r="J20" s="2">
        <v>1</v>
      </c>
      <c r="K20" s="2" t="b">
        <v>0</v>
      </c>
      <c r="L20" s="2">
        <v>2</v>
      </c>
      <c r="M20" s="2">
        <v>0</v>
      </c>
      <c r="N20" s="2">
        <v>0</v>
      </c>
    </row>
    <row r="21" spans="1:14" ht="409.5" x14ac:dyDescent="0.25">
      <c r="A21" s="2" t="s">
        <v>54</v>
      </c>
      <c r="B21" s="2" t="s">
        <v>41</v>
      </c>
      <c r="C21" s="2" t="s">
        <v>55</v>
      </c>
      <c r="D21" s="2" t="s">
        <v>144</v>
      </c>
      <c r="E21" s="2">
        <v>1</v>
      </c>
      <c r="F21" s="2">
        <v>1</v>
      </c>
      <c r="G21" s="2">
        <v>1</v>
      </c>
      <c r="H21" s="2">
        <v>1</v>
      </c>
      <c r="I21" s="4">
        <v>0.66700000000000004</v>
      </c>
      <c r="J21" s="2">
        <v>0.66700000000000004</v>
      </c>
      <c r="K21" s="2" t="b">
        <v>0</v>
      </c>
      <c r="L21" s="2">
        <v>1</v>
      </c>
      <c r="M21" s="2">
        <v>0</v>
      </c>
      <c r="N21" s="2">
        <v>1</v>
      </c>
    </row>
    <row r="22" spans="1:14" ht="409.5" x14ac:dyDescent="0.25">
      <c r="A22" s="2" t="s">
        <v>56</v>
      </c>
      <c r="B22" s="2" t="s">
        <v>41</v>
      </c>
      <c r="C22" s="2" t="s">
        <v>57</v>
      </c>
      <c r="D22" s="2" t="s">
        <v>145</v>
      </c>
      <c r="E22" s="2">
        <v>1</v>
      </c>
      <c r="F22" s="2">
        <v>1</v>
      </c>
      <c r="G22" s="2">
        <v>1</v>
      </c>
      <c r="H22" s="2">
        <v>1</v>
      </c>
      <c r="I22" s="4">
        <v>1</v>
      </c>
      <c r="J22" s="2">
        <v>1</v>
      </c>
      <c r="K22" s="2" t="b">
        <v>0</v>
      </c>
      <c r="L22" s="2">
        <v>3</v>
      </c>
      <c r="M22" s="2">
        <v>0</v>
      </c>
      <c r="N22" s="2">
        <v>0</v>
      </c>
    </row>
    <row r="23" spans="1:14" ht="322" x14ac:dyDescent="0.25">
      <c r="A23" s="2" t="s">
        <v>58</v>
      </c>
      <c r="B23" s="2" t="s">
        <v>41</v>
      </c>
      <c r="C23" s="2" t="s">
        <v>59</v>
      </c>
      <c r="D23" s="2" t="s">
        <v>146</v>
      </c>
      <c r="E23" s="2">
        <v>1</v>
      </c>
      <c r="F23" s="2">
        <v>1</v>
      </c>
      <c r="G23" s="2">
        <v>1</v>
      </c>
      <c r="H23" s="2">
        <v>1</v>
      </c>
      <c r="I23" s="4">
        <v>1</v>
      </c>
      <c r="J23" s="2">
        <v>1</v>
      </c>
      <c r="K23" s="2" t="b">
        <v>0</v>
      </c>
      <c r="L23" s="2">
        <v>2</v>
      </c>
      <c r="M23" s="2">
        <v>0</v>
      </c>
      <c r="N23" s="2">
        <v>0</v>
      </c>
    </row>
    <row r="24" spans="1:14" ht="224" x14ac:dyDescent="0.25">
      <c r="A24" s="2" t="s">
        <v>60</v>
      </c>
      <c r="B24" s="2" t="s">
        <v>41</v>
      </c>
      <c r="C24" s="2" t="s">
        <v>61</v>
      </c>
      <c r="D24" s="2" t="s">
        <v>148</v>
      </c>
      <c r="E24" s="2">
        <v>1</v>
      </c>
      <c r="F24" s="2">
        <v>1</v>
      </c>
      <c r="G24" s="2">
        <v>1</v>
      </c>
      <c r="H24" s="2">
        <v>1</v>
      </c>
      <c r="I24" s="4">
        <v>1</v>
      </c>
      <c r="J24" s="2">
        <v>1</v>
      </c>
      <c r="K24" s="2" t="b">
        <v>0</v>
      </c>
      <c r="L24" s="2">
        <v>1</v>
      </c>
      <c r="M24" s="2">
        <v>0</v>
      </c>
      <c r="N24" s="2">
        <v>0</v>
      </c>
    </row>
    <row r="25" spans="1:14" ht="224" x14ac:dyDescent="0.25">
      <c r="A25" s="2" t="s">
        <v>62</v>
      </c>
      <c r="B25" s="2" t="s">
        <v>63</v>
      </c>
      <c r="C25" s="2" t="s">
        <v>64</v>
      </c>
      <c r="D25" s="2" t="s">
        <v>150</v>
      </c>
      <c r="E25" s="2">
        <v>1</v>
      </c>
      <c r="F25" s="2">
        <v>1</v>
      </c>
      <c r="G25" s="2">
        <v>1</v>
      </c>
      <c r="H25" s="2">
        <v>1</v>
      </c>
      <c r="I25" s="4">
        <v>1</v>
      </c>
      <c r="J25" s="2">
        <v>1</v>
      </c>
      <c r="K25" s="2" t="b">
        <v>0</v>
      </c>
      <c r="L25" s="2">
        <v>2</v>
      </c>
      <c r="M25" s="2">
        <v>0</v>
      </c>
      <c r="N25" s="2">
        <v>0</v>
      </c>
    </row>
    <row r="26" spans="1:14" ht="196" x14ac:dyDescent="0.25">
      <c r="A26" s="2" t="s">
        <v>65</v>
      </c>
      <c r="B26" s="2" t="s">
        <v>63</v>
      </c>
      <c r="C26" s="2" t="s">
        <v>66</v>
      </c>
      <c r="D26" s="2" t="s">
        <v>151</v>
      </c>
      <c r="E26" s="2">
        <v>1</v>
      </c>
      <c r="F26" s="2">
        <v>1</v>
      </c>
      <c r="G26" s="2">
        <v>1</v>
      </c>
      <c r="H26" s="2">
        <v>1</v>
      </c>
      <c r="I26" s="4">
        <v>1</v>
      </c>
      <c r="J26" s="2">
        <v>1</v>
      </c>
      <c r="K26" s="2" t="b">
        <v>0</v>
      </c>
      <c r="L26" s="2">
        <v>1</v>
      </c>
      <c r="M26" s="2">
        <v>0</v>
      </c>
      <c r="N26" s="2">
        <v>0</v>
      </c>
    </row>
    <row r="27" spans="1:14" ht="210" x14ac:dyDescent="0.25">
      <c r="A27" s="2" t="s">
        <v>67</v>
      </c>
      <c r="B27" s="2" t="s">
        <v>63</v>
      </c>
      <c r="C27" s="2" t="s">
        <v>68</v>
      </c>
      <c r="D27" s="2" t="s">
        <v>153</v>
      </c>
      <c r="E27" s="2">
        <v>1</v>
      </c>
      <c r="F27" s="2">
        <v>1</v>
      </c>
      <c r="G27" s="2">
        <v>1</v>
      </c>
      <c r="H27" s="2">
        <v>1</v>
      </c>
      <c r="I27" s="4">
        <v>1</v>
      </c>
      <c r="J27" s="2">
        <v>1</v>
      </c>
      <c r="K27" s="2" t="b">
        <v>0</v>
      </c>
      <c r="L27" s="2">
        <v>1</v>
      </c>
      <c r="M27" s="2">
        <v>0</v>
      </c>
      <c r="N27" s="2">
        <v>0</v>
      </c>
    </row>
    <row r="28" spans="1:14" ht="154" x14ac:dyDescent="0.25">
      <c r="A28" s="2" t="s">
        <v>69</v>
      </c>
      <c r="B28" s="2" t="s">
        <v>63</v>
      </c>
      <c r="C28" s="2" t="s">
        <v>70</v>
      </c>
      <c r="D28" s="2" t="s">
        <v>149</v>
      </c>
      <c r="E28" s="2">
        <v>1</v>
      </c>
      <c r="F28" s="2">
        <v>1</v>
      </c>
      <c r="G28" s="2">
        <v>1</v>
      </c>
      <c r="H28" s="2">
        <v>1</v>
      </c>
      <c r="I28" s="4">
        <v>1</v>
      </c>
      <c r="J28" s="2">
        <v>1</v>
      </c>
      <c r="K28" s="2" t="b">
        <v>0</v>
      </c>
      <c r="L28" s="2">
        <v>1</v>
      </c>
      <c r="M28" s="2">
        <v>0</v>
      </c>
      <c r="N28" s="2">
        <v>0</v>
      </c>
    </row>
    <row r="29" spans="1:14" ht="154" x14ac:dyDescent="0.25">
      <c r="A29" s="2" t="s">
        <v>71</v>
      </c>
      <c r="B29" s="2" t="s">
        <v>63</v>
      </c>
      <c r="C29" s="2" t="s">
        <v>72</v>
      </c>
      <c r="D29" s="2" t="s">
        <v>136</v>
      </c>
      <c r="E29" s="2">
        <v>1</v>
      </c>
      <c r="F29" s="2">
        <v>1</v>
      </c>
      <c r="G29" s="2">
        <v>1</v>
      </c>
      <c r="H29" s="2">
        <v>1</v>
      </c>
      <c r="I29" s="4">
        <v>1</v>
      </c>
      <c r="J29" s="2">
        <v>1</v>
      </c>
      <c r="K29" s="2" t="b">
        <v>0</v>
      </c>
      <c r="L29" s="2">
        <v>1</v>
      </c>
      <c r="M29" s="2">
        <v>0</v>
      </c>
      <c r="N29" s="2">
        <v>0</v>
      </c>
    </row>
    <row r="30" spans="1:14" ht="210" x14ac:dyDescent="0.25">
      <c r="A30" s="2" t="s">
        <v>73</v>
      </c>
      <c r="B30" s="2" t="s">
        <v>63</v>
      </c>
      <c r="C30" s="2" t="s">
        <v>74</v>
      </c>
      <c r="D30" s="2" t="s">
        <v>154</v>
      </c>
      <c r="E30" s="2">
        <v>1</v>
      </c>
      <c r="F30" s="2">
        <v>1</v>
      </c>
      <c r="G30" s="2">
        <v>1</v>
      </c>
      <c r="H30" s="2">
        <v>1</v>
      </c>
      <c r="I30" s="4">
        <v>1</v>
      </c>
      <c r="J30" s="2">
        <v>1</v>
      </c>
      <c r="K30" s="2" t="b">
        <v>0</v>
      </c>
      <c r="L30" s="2">
        <v>3</v>
      </c>
      <c r="M30" s="2">
        <v>0</v>
      </c>
      <c r="N30" s="2">
        <v>0</v>
      </c>
    </row>
    <row r="31" spans="1:14" ht="266" x14ac:dyDescent="0.25">
      <c r="A31" s="2" t="s">
        <v>75</v>
      </c>
      <c r="B31" s="2" t="s">
        <v>63</v>
      </c>
      <c r="C31" s="2" t="s">
        <v>76</v>
      </c>
      <c r="D31" s="2" t="s">
        <v>128</v>
      </c>
      <c r="E31" s="2">
        <v>1</v>
      </c>
      <c r="F31" s="2">
        <v>1</v>
      </c>
      <c r="G31" s="2">
        <v>1</v>
      </c>
      <c r="H31" s="2">
        <v>1</v>
      </c>
      <c r="I31" s="4">
        <v>1</v>
      </c>
      <c r="J31" s="2">
        <v>1</v>
      </c>
      <c r="K31" s="2" t="b">
        <v>0</v>
      </c>
      <c r="L31" s="2">
        <v>3</v>
      </c>
      <c r="M31" s="2">
        <v>0</v>
      </c>
      <c r="N31" s="2">
        <v>0</v>
      </c>
    </row>
    <row r="32" spans="1:14" ht="409.5" x14ac:dyDescent="0.25">
      <c r="A32" s="2" t="s">
        <v>77</v>
      </c>
      <c r="B32" s="2" t="s">
        <v>63</v>
      </c>
      <c r="C32" s="2" t="s">
        <v>78</v>
      </c>
      <c r="D32" s="2" t="s">
        <v>129</v>
      </c>
      <c r="E32" s="2">
        <v>1</v>
      </c>
      <c r="F32" s="2">
        <v>1</v>
      </c>
      <c r="G32" s="2">
        <v>1</v>
      </c>
      <c r="H32" s="2">
        <v>1</v>
      </c>
      <c r="I32" s="4">
        <v>0</v>
      </c>
      <c r="J32" s="2">
        <v>1</v>
      </c>
      <c r="K32" s="2" t="b">
        <v>0</v>
      </c>
      <c r="L32" s="2">
        <v>3</v>
      </c>
      <c r="M32" s="2">
        <v>0</v>
      </c>
      <c r="N32" s="2">
        <v>0</v>
      </c>
    </row>
    <row r="33" spans="1:15" ht="409.5" x14ac:dyDescent="0.25">
      <c r="A33" s="2" t="s">
        <v>79</v>
      </c>
      <c r="B33" s="2" t="s">
        <v>63</v>
      </c>
      <c r="C33" s="2" t="s">
        <v>80</v>
      </c>
      <c r="D33" s="2" t="s">
        <v>156</v>
      </c>
      <c r="E33" s="2">
        <v>1</v>
      </c>
      <c r="F33" s="2">
        <v>1</v>
      </c>
      <c r="G33" s="2">
        <v>1</v>
      </c>
      <c r="H33" s="2">
        <v>1</v>
      </c>
      <c r="I33" s="4">
        <v>1</v>
      </c>
      <c r="J33" s="2">
        <v>0.8</v>
      </c>
      <c r="K33" s="2" t="b">
        <v>0</v>
      </c>
      <c r="L33" s="2">
        <v>2</v>
      </c>
      <c r="M33" s="2">
        <v>0</v>
      </c>
      <c r="N33" s="2">
        <v>1</v>
      </c>
    </row>
    <row r="34" spans="1:15" ht="336" x14ac:dyDescent="0.25">
      <c r="A34" s="2" t="s">
        <v>81</v>
      </c>
      <c r="B34" s="2" t="s">
        <v>63</v>
      </c>
      <c r="C34" s="2" t="s">
        <v>82</v>
      </c>
      <c r="D34" s="2" t="s">
        <v>157</v>
      </c>
      <c r="E34" s="2">
        <v>1</v>
      </c>
      <c r="F34" s="2">
        <v>1</v>
      </c>
      <c r="G34" s="2">
        <v>1</v>
      </c>
      <c r="H34" s="2">
        <v>1</v>
      </c>
      <c r="I34" s="4">
        <v>1</v>
      </c>
      <c r="J34" s="2">
        <v>1</v>
      </c>
      <c r="K34" s="2" t="b">
        <v>0</v>
      </c>
      <c r="L34" s="2">
        <v>3</v>
      </c>
      <c r="M34" s="2">
        <v>0</v>
      </c>
      <c r="N34" s="2">
        <v>0</v>
      </c>
    </row>
    <row r="35" spans="1:15" ht="182" x14ac:dyDescent="0.25">
      <c r="A35" s="2" t="s">
        <v>83</v>
      </c>
      <c r="B35" s="2" t="s">
        <v>63</v>
      </c>
      <c r="C35" s="2" t="s">
        <v>84</v>
      </c>
      <c r="D35" s="2" t="s">
        <v>158</v>
      </c>
      <c r="E35" s="2">
        <v>1</v>
      </c>
      <c r="F35" s="2">
        <v>1</v>
      </c>
      <c r="G35" s="2">
        <v>1</v>
      </c>
      <c r="H35" s="2">
        <v>1</v>
      </c>
      <c r="I35" s="4">
        <v>1</v>
      </c>
      <c r="J35" s="2">
        <v>0.66700000000000004</v>
      </c>
      <c r="K35" s="2" t="b">
        <v>0</v>
      </c>
      <c r="L35" s="2">
        <v>1</v>
      </c>
      <c r="M35" s="2">
        <v>0</v>
      </c>
      <c r="N35" s="2">
        <v>1</v>
      </c>
    </row>
    <row r="36" spans="1:15" ht="378" x14ac:dyDescent="0.25">
      <c r="A36" s="2" t="s">
        <v>85</v>
      </c>
      <c r="B36" s="2" t="s">
        <v>86</v>
      </c>
      <c r="C36" s="2" t="s">
        <v>87</v>
      </c>
      <c r="D36" s="2" t="s">
        <v>152</v>
      </c>
      <c r="E36" s="2">
        <v>0</v>
      </c>
      <c r="F36" s="2">
        <v>1</v>
      </c>
      <c r="G36" s="2">
        <v>1</v>
      </c>
      <c r="H36" s="2">
        <v>0.5</v>
      </c>
      <c r="I36" s="4">
        <v>0.5</v>
      </c>
      <c r="J36" s="2">
        <v>1</v>
      </c>
      <c r="K36" s="2" t="b">
        <v>0</v>
      </c>
      <c r="L36" s="2">
        <v>2</v>
      </c>
      <c r="M36" s="2">
        <v>0</v>
      </c>
      <c r="N36" s="2">
        <v>0</v>
      </c>
    </row>
    <row r="37" spans="1:15" ht="409.5" x14ac:dyDescent="0.25">
      <c r="A37" s="2" t="s">
        <v>88</v>
      </c>
      <c r="B37" s="2" t="s">
        <v>86</v>
      </c>
      <c r="C37" s="2" t="s">
        <v>89</v>
      </c>
      <c r="D37" s="2" t="s">
        <v>159</v>
      </c>
      <c r="E37" s="2">
        <v>0</v>
      </c>
      <c r="F37" s="2">
        <v>1</v>
      </c>
      <c r="G37" s="2">
        <v>1</v>
      </c>
      <c r="H37" s="2">
        <v>0.5</v>
      </c>
      <c r="I37" s="4">
        <v>1</v>
      </c>
      <c r="J37" s="2">
        <v>1</v>
      </c>
      <c r="K37" s="2" t="b">
        <v>0</v>
      </c>
      <c r="L37" s="2">
        <v>2</v>
      </c>
      <c r="M37" s="2">
        <v>0</v>
      </c>
      <c r="N37" s="2">
        <v>0</v>
      </c>
    </row>
    <row r="38" spans="1:15" ht="409.5" x14ac:dyDescent="0.25">
      <c r="A38" s="2" t="s">
        <v>90</v>
      </c>
      <c r="B38" s="2" t="s">
        <v>86</v>
      </c>
      <c r="C38" s="2" t="s">
        <v>91</v>
      </c>
      <c r="D38" s="2" t="s">
        <v>160</v>
      </c>
      <c r="E38" s="2">
        <v>0</v>
      </c>
      <c r="F38" s="2">
        <v>0</v>
      </c>
      <c r="G38" s="2">
        <v>0</v>
      </c>
      <c r="H38" s="2">
        <v>0</v>
      </c>
      <c r="I38" s="4">
        <v>0.66700000000000004</v>
      </c>
      <c r="J38" s="2">
        <v>0.66700000000000004</v>
      </c>
      <c r="K38" s="2" t="b">
        <v>0</v>
      </c>
      <c r="L38" s="2">
        <v>2</v>
      </c>
      <c r="M38" s="2">
        <v>1</v>
      </c>
      <c r="N38" s="2">
        <v>1</v>
      </c>
    </row>
    <row r="39" spans="1:15" s="5" customFormat="1" ht="182" x14ac:dyDescent="0.25">
      <c r="A39" s="5" t="s">
        <v>92</v>
      </c>
      <c r="B39" s="5" t="s">
        <v>86</v>
      </c>
      <c r="C39" s="5" t="s">
        <v>93</v>
      </c>
      <c r="D39" s="5" t="s">
        <v>94</v>
      </c>
      <c r="E39" s="5">
        <v>0</v>
      </c>
      <c r="F39" s="5">
        <v>0</v>
      </c>
      <c r="G39" s="5">
        <v>1</v>
      </c>
      <c r="H39" s="5">
        <v>0.25</v>
      </c>
      <c r="I39" s="5">
        <v>0</v>
      </c>
      <c r="J39" s="5">
        <v>0</v>
      </c>
      <c r="K39" s="5" t="b">
        <v>0</v>
      </c>
      <c r="L39" s="5">
        <v>0</v>
      </c>
      <c r="M39" s="5">
        <v>0</v>
      </c>
      <c r="N39" s="5">
        <v>2</v>
      </c>
    </row>
    <row r="40" spans="1:15" ht="409.5" x14ac:dyDescent="0.25">
      <c r="A40" s="2" t="s">
        <v>95</v>
      </c>
      <c r="B40" s="2" t="s">
        <v>86</v>
      </c>
      <c r="C40" s="2" t="s">
        <v>96</v>
      </c>
      <c r="D40" s="2" t="s">
        <v>155</v>
      </c>
      <c r="E40" s="2">
        <v>1</v>
      </c>
      <c r="F40" s="2">
        <v>1</v>
      </c>
      <c r="G40" s="2">
        <v>1</v>
      </c>
      <c r="H40" s="2">
        <v>1</v>
      </c>
      <c r="I40" s="4">
        <v>1</v>
      </c>
      <c r="J40" s="2">
        <v>0.66700000000000004</v>
      </c>
      <c r="K40" s="2" t="b">
        <v>0</v>
      </c>
      <c r="L40" s="2">
        <v>2</v>
      </c>
      <c r="M40" s="2">
        <v>1</v>
      </c>
      <c r="N40" s="2">
        <v>1</v>
      </c>
    </row>
    <row r="41" spans="1:15" ht="409.5" x14ac:dyDescent="0.25">
      <c r="A41" s="2" t="s">
        <v>97</v>
      </c>
      <c r="B41" s="2" t="s">
        <v>86</v>
      </c>
      <c r="C41" s="2" t="s">
        <v>98</v>
      </c>
      <c r="D41" s="2" t="s">
        <v>161</v>
      </c>
      <c r="E41" s="2">
        <v>1</v>
      </c>
      <c r="F41" s="2">
        <v>1</v>
      </c>
      <c r="G41" s="2">
        <v>1</v>
      </c>
      <c r="H41" s="2">
        <v>1</v>
      </c>
      <c r="I41" s="4">
        <v>1</v>
      </c>
      <c r="J41" s="2">
        <v>0.8</v>
      </c>
      <c r="K41" s="2" t="b">
        <v>0</v>
      </c>
      <c r="L41" s="2">
        <v>2</v>
      </c>
      <c r="M41" s="2">
        <v>0</v>
      </c>
      <c r="N41" s="2">
        <v>1</v>
      </c>
    </row>
    <row r="42" spans="1:15" ht="409.5" x14ac:dyDescent="0.25">
      <c r="A42" s="2" t="s">
        <v>99</v>
      </c>
      <c r="B42" s="2" t="s">
        <v>86</v>
      </c>
      <c r="C42" s="2" t="s">
        <v>100</v>
      </c>
      <c r="D42" s="2" t="s">
        <v>162</v>
      </c>
      <c r="E42" s="2">
        <v>0</v>
      </c>
      <c r="F42" s="2">
        <v>1</v>
      </c>
      <c r="G42" s="2">
        <v>1</v>
      </c>
      <c r="H42" s="2">
        <v>0.33333333333333331</v>
      </c>
      <c r="I42" s="4">
        <v>1</v>
      </c>
      <c r="J42" s="2">
        <v>0.85699999999999998</v>
      </c>
      <c r="K42" s="2" t="b">
        <v>0</v>
      </c>
      <c r="L42" s="2">
        <v>3</v>
      </c>
      <c r="M42" s="2">
        <v>0</v>
      </c>
      <c r="N42" s="2">
        <v>1</v>
      </c>
    </row>
    <row r="43" spans="1:15" ht="409.5" x14ac:dyDescent="0.25">
      <c r="A43" s="2" t="s">
        <v>101</v>
      </c>
      <c r="B43" s="2" t="s">
        <v>86</v>
      </c>
      <c r="C43" s="2" t="s">
        <v>102</v>
      </c>
      <c r="D43" s="2" t="s">
        <v>147</v>
      </c>
      <c r="E43" s="2">
        <v>1</v>
      </c>
      <c r="F43" s="2">
        <v>1</v>
      </c>
      <c r="G43" s="2">
        <v>1</v>
      </c>
      <c r="H43" s="2">
        <v>1</v>
      </c>
      <c r="I43" s="4">
        <v>0.5</v>
      </c>
      <c r="J43" s="2">
        <v>0.66700000000000004</v>
      </c>
      <c r="K43" s="2" t="b">
        <v>0</v>
      </c>
      <c r="L43" s="2">
        <v>2</v>
      </c>
      <c r="M43" s="2">
        <v>0</v>
      </c>
      <c r="N43" s="2">
        <v>2</v>
      </c>
    </row>
    <row r="44" spans="1:15" ht="56" x14ac:dyDescent="0.25">
      <c r="A44" s="2" t="s">
        <v>103</v>
      </c>
      <c r="B44" s="2" t="s">
        <v>104</v>
      </c>
      <c r="C44" s="2" t="s">
        <v>105</v>
      </c>
      <c r="D44" s="2" t="s">
        <v>106</v>
      </c>
      <c r="J44" s="2">
        <v>1</v>
      </c>
      <c r="K44" s="2" t="b">
        <v>1</v>
      </c>
      <c r="L44" s="2">
        <v>1</v>
      </c>
      <c r="M44" s="2">
        <v>0</v>
      </c>
      <c r="N44" s="2">
        <v>0</v>
      </c>
      <c r="O44" s="2" t="b">
        <v>1</v>
      </c>
    </row>
    <row r="45" spans="1:15" ht="70" x14ac:dyDescent="0.25">
      <c r="A45" s="2" t="s">
        <v>107</v>
      </c>
      <c r="B45" s="2" t="s">
        <v>104</v>
      </c>
      <c r="C45" s="2" t="s">
        <v>105</v>
      </c>
      <c r="D45" s="2" t="s">
        <v>106</v>
      </c>
      <c r="J45" s="2">
        <v>1</v>
      </c>
      <c r="K45" s="2" t="b">
        <v>1</v>
      </c>
      <c r="L45" s="2">
        <v>1</v>
      </c>
      <c r="M45" s="2">
        <v>0</v>
      </c>
      <c r="N45" s="2">
        <v>0</v>
      </c>
      <c r="O45" s="2" t="b">
        <v>1</v>
      </c>
    </row>
    <row r="46" spans="1:15" ht="42" x14ac:dyDescent="0.25">
      <c r="A46" s="2" t="s">
        <v>108</v>
      </c>
      <c r="B46" s="2" t="s">
        <v>104</v>
      </c>
      <c r="C46" s="2" t="s">
        <v>105</v>
      </c>
      <c r="D46" s="2" t="s">
        <v>106</v>
      </c>
      <c r="J46" s="2">
        <v>1</v>
      </c>
      <c r="K46" s="2" t="b">
        <v>1</v>
      </c>
      <c r="L46" s="2">
        <v>1</v>
      </c>
      <c r="M46" s="2">
        <v>0</v>
      </c>
      <c r="N46" s="2">
        <v>0</v>
      </c>
      <c r="O46" s="2" t="b">
        <v>1</v>
      </c>
    </row>
    <row r="47" spans="1:15" ht="98" x14ac:dyDescent="0.25">
      <c r="A47" s="2" t="s">
        <v>109</v>
      </c>
      <c r="B47" s="2" t="s">
        <v>104</v>
      </c>
      <c r="C47" s="2" t="s">
        <v>105</v>
      </c>
      <c r="D47" s="2" t="s">
        <v>106</v>
      </c>
      <c r="J47" s="2">
        <v>1</v>
      </c>
      <c r="K47" s="2" t="b">
        <v>1</v>
      </c>
      <c r="L47" s="2">
        <v>1</v>
      </c>
      <c r="M47" s="2">
        <v>0</v>
      </c>
      <c r="N47" s="2">
        <v>0</v>
      </c>
      <c r="O47" s="2" t="b">
        <v>1</v>
      </c>
    </row>
    <row r="48" spans="1:15" ht="56" x14ac:dyDescent="0.25">
      <c r="A48" s="2" t="s">
        <v>110</v>
      </c>
      <c r="B48" s="2" t="s">
        <v>104</v>
      </c>
      <c r="C48" s="2" t="s">
        <v>105</v>
      </c>
      <c r="D48" s="2" t="s">
        <v>106</v>
      </c>
      <c r="J48" s="2">
        <v>1</v>
      </c>
      <c r="K48" s="2" t="b">
        <v>1</v>
      </c>
      <c r="L48" s="2">
        <v>1</v>
      </c>
      <c r="M48" s="2">
        <v>0</v>
      </c>
      <c r="N48" s="2">
        <v>0</v>
      </c>
      <c r="O48" s="2" t="b">
        <v>1</v>
      </c>
    </row>
    <row r="49" spans="1:15" ht="56" x14ac:dyDescent="0.25">
      <c r="A49" s="2" t="s">
        <v>111</v>
      </c>
      <c r="B49" s="2" t="s">
        <v>104</v>
      </c>
      <c r="C49" s="2" t="s">
        <v>105</v>
      </c>
      <c r="D49" s="2" t="s">
        <v>106</v>
      </c>
      <c r="J49" s="2">
        <v>1</v>
      </c>
      <c r="K49" s="2" t="b">
        <v>1</v>
      </c>
      <c r="L49" s="2">
        <v>1</v>
      </c>
      <c r="M49" s="2">
        <v>0</v>
      </c>
      <c r="N49" s="2">
        <v>0</v>
      </c>
      <c r="O49" s="2" t="b">
        <v>1</v>
      </c>
    </row>
    <row r="50" spans="1:15" ht="308" x14ac:dyDescent="0.25">
      <c r="A50" s="2" t="s">
        <v>112</v>
      </c>
      <c r="B50" s="2" t="s">
        <v>104</v>
      </c>
      <c r="C50" s="2" t="s">
        <v>105</v>
      </c>
      <c r="D50" s="2" t="s">
        <v>130</v>
      </c>
      <c r="J50" s="2">
        <v>1</v>
      </c>
      <c r="K50" s="2" t="b">
        <v>1</v>
      </c>
      <c r="L50" s="2">
        <v>0</v>
      </c>
      <c r="M50" s="2">
        <v>1</v>
      </c>
      <c r="N50" s="2">
        <v>0</v>
      </c>
      <c r="O50" s="2" t="b">
        <v>0</v>
      </c>
    </row>
    <row r="51" spans="1:15" ht="56" x14ac:dyDescent="0.25">
      <c r="A51" s="2" t="s">
        <v>113</v>
      </c>
      <c r="B51" s="2" t="s">
        <v>104</v>
      </c>
      <c r="C51" s="2" t="s">
        <v>105</v>
      </c>
      <c r="D51" s="2" t="s">
        <v>106</v>
      </c>
      <c r="J51" s="2">
        <v>1</v>
      </c>
      <c r="K51" s="2" t="b">
        <v>1</v>
      </c>
      <c r="L51" s="2">
        <v>1</v>
      </c>
      <c r="M51" s="2">
        <v>0</v>
      </c>
      <c r="N51" s="2">
        <v>0</v>
      </c>
      <c r="O51" s="2" t="b">
        <v>1</v>
      </c>
    </row>
    <row r="53" spans="1:15" x14ac:dyDescent="0.25">
      <c r="A53" s="2" t="s">
        <v>114</v>
      </c>
      <c r="E53" s="2">
        <f>AVERAGEIFS(E2:E51,K2:K51,FALSE)</f>
        <v>0.80952380952380953</v>
      </c>
      <c r="F53" s="2">
        <f>AVERAGEIFS(F2:F51,K2:K51,FALSE)</f>
        <v>0.95238095238095233</v>
      </c>
      <c r="G53" s="2">
        <f>AVERAGEIFS(G2:G51,K2:K51,FALSE)</f>
        <v>0.97619047619047616</v>
      </c>
      <c r="H53" s="2">
        <f>AVERAGEIFS(H2:H51,K2:K51,FALSE)</f>
        <v>0.875</v>
      </c>
      <c r="I53" s="4">
        <f>AVERAGEIFS(I2:I51,K2:K51,FALSE)</f>
        <v>0.84526190476190488</v>
      </c>
      <c r="J53" s="2">
        <f>AVERAGE(J2:J51)</f>
        <v>0.91546000000000005</v>
      </c>
      <c r="L53" s="2">
        <f>AVERAGE(L2:L51)</f>
        <v>1.86</v>
      </c>
      <c r="M53" s="2">
        <f>AVERAGE(M2:M51)</f>
        <v>0.06</v>
      </c>
      <c r="N53" s="2">
        <f>AVERAGE(N2:N51)</f>
        <v>0.32</v>
      </c>
    </row>
    <row r="54" spans="1:15" x14ac:dyDescent="0.25">
      <c r="A54" s="2" t="s">
        <v>115</v>
      </c>
      <c r="B54" s="2" t="s">
        <v>16</v>
      </c>
      <c r="E54" s="2">
        <f>AVERAGEIFS(E2:E51,B2:B51,"定义类",K2:K51,FALSE)</f>
        <v>0.91666666666666663</v>
      </c>
      <c r="F54" s="2">
        <f>AVERAGEIFS(F2:F51,B2:B51,"定义类",K2:K51,FALSE)</f>
        <v>1</v>
      </c>
      <c r="G54" s="2">
        <f>AVERAGEIFS(G2:G51,B2:B51,"定义类",K2:K51,FALSE)</f>
        <v>1</v>
      </c>
      <c r="H54" s="2">
        <f>AVERAGEIFS(H2:H51,B2:B51,"定义类",K2:K51,FALSE)</f>
        <v>0.94444444444444431</v>
      </c>
      <c r="I54" s="4">
        <f>AVERAGEIFS(I2:I51,B2:B51,"定义类",K2:K51,FALSE)</f>
        <v>0.91666666666666663</v>
      </c>
      <c r="J54" s="2">
        <f>AVERAGEIF(B2:B51,"定义类",J2:J51)</f>
        <v>0.93174999999999997</v>
      </c>
      <c r="L54" s="2">
        <f>AVERAGEIF(B2:B51,"定义类",L2:L51)</f>
        <v>2.25</v>
      </c>
      <c r="M54" s="2">
        <f>AVERAGEIF(B2:B51,"定义类",M2:M51)</f>
        <v>0</v>
      </c>
      <c r="N54" s="2">
        <f>AVERAGEIF(B2:B51,"定义类",N2:N51)</f>
        <v>0.33333333333333331</v>
      </c>
    </row>
    <row r="55" spans="1:15" ht="28" x14ac:dyDescent="0.25">
      <c r="A55" s="2" t="s">
        <v>116</v>
      </c>
      <c r="B55" s="2" t="s">
        <v>41</v>
      </c>
      <c r="E55" s="2">
        <f>AVERAGEIFS(E2:E51,B2:B51,"方法细节类",K2:K51,FALSE)</f>
        <v>0.81818181818181823</v>
      </c>
      <c r="F55" s="2">
        <f>AVERAGEIFS(F2:F51,B2:B51,"方法细节类",K2:K51,FALSE)</f>
        <v>1</v>
      </c>
      <c r="G55" s="2">
        <f>AVERAGEIFS(G2:G51,B2:B51,"方法细节类",K2:K51,FALSE)</f>
        <v>1</v>
      </c>
      <c r="H55" s="2">
        <f>AVERAGEIFS(H2:H51,B2:B51,"方法细节类",K2:K51,FALSE)</f>
        <v>0.89393939393939403</v>
      </c>
      <c r="I55" s="4">
        <f>AVERAGEIFS(I2:I51,B2:B51,"方法细节类",K2:K51,FALSE)</f>
        <v>0.80309090909090908</v>
      </c>
      <c r="J55" s="2">
        <f>AVERAGEIF(B2:B51,"方法细节类",J2:J51)</f>
        <v>0.95154545454545447</v>
      </c>
      <c r="L55" s="2">
        <f>AVERAGEIF(B2:B51,"方法细节类",L2:L51)</f>
        <v>2.0909090909090908</v>
      </c>
      <c r="M55" s="2">
        <f>AVERAGEIF(B2:B51,"方法细节类",M2:M51)</f>
        <v>0</v>
      </c>
      <c r="N55" s="2">
        <f>AVERAGEIF(B2:B51,"方法细节类",N2:N51)</f>
        <v>0.18181818181818182</v>
      </c>
    </row>
    <row r="56" spans="1:15" ht="28" x14ac:dyDescent="0.25">
      <c r="A56" s="2" t="s">
        <v>117</v>
      </c>
      <c r="B56" s="2" t="s">
        <v>63</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0.90909090909090906</v>
      </c>
      <c r="J56" s="2">
        <f>AVERAGEIF(B2:B51,"实验结果类",J2:J51)</f>
        <v>0.95154545454545458</v>
      </c>
      <c r="L56" s="2">
        <f>AVERAGEIF(B2:B51,"实验结果类",L2:L51)</f>
        <v>1.9090909090909092</v>
      </c>
      <c r="M56" s="2">
        <f>AVERAGEIF(B2:B51,"实验结果类",M2:M51)</f>
        <v>0</v>
      </c>
      <c r="N56" s="2">
        <f>AVERAGEIF(B2:B51,"实验结果类",N2:N51)</f>
        <v>0.18181818181818182</v>
      </c>
    </row>
    <row r="57" spans="1:15" ht="28" x14ac:dyDescent="0.25">
      <c r="A57" s="2" t="s">
        <v>118</v>
      </c>
      <c r="B57" s="2" t="s">
        <v>86</v>
      </c>
      <c r="E57" s="2">
        <f>AVERAGEIFS(E2:E51,B2:B51,"跨论文比较类",K2:K51,FALSE)</f>
        <v>0.375</v>
      </c>
      <c r="F57" s="2">
        <f>AVERAGEIFS(F2:F51,B2:B51,"跨论文比较类",K2:K51,FALSE)</f>
        <v>0.75</v>
      </c>
      <c r="G57" s="2">
        <f>AVERAGEIFS(G2:G51,B2:B51,"跨论文比较类",K2:K51,FALSE)</f>
        <v>0.875</v>
      </c>
      <c r="H57" s="2">
        <f>AVERAGEIFS(H2:H51,B2:B51,"跨论文比较类",K2:K51,FALSE)</f>
        <v>0.57291666666666674</v>
      </c>
      <c r="I57" s="4">
        <f>AVERAGEIFS(I2:I51,B2:B51,"跨论文比较类",K2:K51,FALSE)</f>
        <v>0.70837499999999998</v>
      </c>
      <c r="J57" s="2">
        <f>AVERAGEIF(B2:B51,"跨论文比较类",J2:J51)</f>
        <v>0.70724999999999993</v>
      </c>
      <c r="L57" s="2">
        <f>AVERAGEIF(B2:B51,"跨论文比较类",L2:L51)</f>
        <v>1.875</v>
      </c>
      <c r="M57" s="2">
        <f>AVERAGEIF(B2:B51,"跨论文比较类",M2:M51)</f>
        <v>0.25</v>
      </c>
      <c r="N57" s="2">
        <f>AVERAGEIF(B2:B51,"跨论文比较类",N2:N51)</f>
        <v>1</v>
      </c>
    </row>
    <row r="58" spans="1:15" ht="28" x14ac:dyDescent="0.25">
      <c r="A58" s="2" t="s">
        <v>119</v>
      </c>
      <c r="B58" s="2" t="s">
        <v>104</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0.875</v>
      </c>
      <c r="M58" s="2">
        <f>AVERAGEIF(B2:B51,"不可回答类",M2:M51)</f>
        <v>0.125</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2026-06-03T01:47:15Z</dcterms:created>
  <dcterms:modified xsi:type="dcterms:W3CDTF">2026-06-09T11:59:17Z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af82dea1-b660-46d1-a448-db9a355e8cad</vt:lpwstr>
  </property>
</Properties>
</file>