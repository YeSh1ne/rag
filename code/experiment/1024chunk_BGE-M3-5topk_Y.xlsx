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rag_project\code\experiment\"/>
    </mc:Choice>
  </mc:AlternateContent>
  <xr:revisionPtr revIDLastSave="0" documentId="13_ncr:1_{E3B30DED-E48B-4019-84CF-218C75982163}" xr6:coauthVersionLast="47" xr6:coauthVersionMax="47" xr10:uidLastSave="{00000000-0000-0000-0000-000000000000}"/>
  <bookViews>
    <workbookView xWindow="12710" yWindow="0" windowWidth="12980" windowHeight="1377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8" i="1" l="1"/>
  <c r="M58" i="1"/>
  <c r="L58" i="1"/>
  <c r="J58" i="1"/>
  <c r="I58" i="1"/>
  <c r="H58" i="1"/>
  <c r="G58" i="1"/>
  <c r="F58" i="1"/>
  <c r="E58" i="1"/>
  <c r="N57" i="1"/>
  <c r="M57" i="1"/>
  <c r="L57" i="1"/>
  <c r="J57" i="1"/>
  <c r="I57" i="1"/>
  <c r="H57" i="1"/>
  <c r="G57" i="1"/>
  <c r="F57" i="1"/>
  <c r="E57" i="1"/>
  <c r="N56" i="1"/>
  <c r="M56" i="1"/>
  <c r="L56" i="1"/>
  <c r="J56" i="1"/>
  <c r="I56" i="1"/>
  <c r="H56" i="1"/>
  <c r="G56" i="1"/>
  <c r="F56" i="1"/>
  <c r="E56" i="1"/>
  <c r="N55" i="1"/>
  <c r="M55" i="1"/>
  <c r="L55" i="1"/>
  <c r="J55" i="1"/>
  <c r="I55" i="1"/>
  <c r="H55" i="1"/>
  <c r="G55" i="1"/>
  <c r="F55" i="1"/>
  <c r="E55" i="1"/>
  <c r="N54" i="1"/>
  <c r="M54" i="1"/>
  <c r="L54" i="1"/>
  <c r="J54" i="1"/>
  <c r="I54" i="1"/>
  <c r="H54" i="1"/>
  <c r="G54" i="1"/>
  <c r="F54" i="1"/>
  <c r="E54" i="1"/>
  <c r="N53" i="1"/>
  <c r="M53" i="1"/>
  <c r="L53" i="1"/>
  <c r="J53" i="1"/>
  <c r="I53" i="1"/>
  <c r="H53" i="1"/>
  <c r="G53" i="1"/>
  <c r="F53" i="1"/>
  <c r="E53" i="1"/>
</calcChain>
</file>

<file path=xl/sharedStrings.xml><?xml version="1.0" encoding="utf-8"?>
<sst xmlns="http://schemas.openxmlformats.org/spreadsheetml/2006/main" count="226" uniqueCount="162">
  <si>
    <t>question</t>
  </si>
  <si>
    <t>question_type</t>
  </si>
  <si>
    <t>gold_answer</t>
  </si>
  <si>
    <t>predicted_answer</t>
  </si>
  <si>
    <t>recall_at_1</t>
  </si>
  <si>
    <t>recall_at_3</t>
  </si>
  <si>
    <t>recall_at_5</t>
  </si>
  <si>
    <t>mrr</t>
  </si>
  <si>
    <t>citation_accuracy</t>
  </si>
  <si>
    <t>answer_correctness</t>
  </si>
  <si>
    <t>is_unanswerable</t>
  </si>
  <si>
    <t>tp</t>
  </si>
  <si>
    <t>fp</t>
  </si>
  <si>
    <t>fn</t>
  </si>
  <si>
    <t>is_correct_refusal</t>
  </si>
  <si>
    <t>在论文"A Survey of Post-Training Scaling in Large Language Models"中，作者将post-training scaling分为哪三个主要方法？</t>
  </si>
  <si>
    <t>定义类</t>
  </si>
  <si>
    <t>作者将post-training scaling分为三个主要方法：Supervised Fine-tuning (SFT), Reinforcement Learning (RLxF), and Test-time Compute (TTC).</t>
  </si>
  <si>
    <t>在SafeRAG中"silver noise"的定义是什么？</t>
  </si>
  <si>
    <t>首先，我们定义了“银色噪声”，它指的是仅部分包含答案的证据文本。此类噪声能够绕过大多数安全过滤机制，从而削弱 RAG 的多样性。</t>
  </si>
  <si>
    <t>RAG噪声被分为哪两类？</t>
  </si>
  <si>
    <t>RAG噪声被分为有益噪声和有害噪声。</t>
  </si>
  <si>
    <t>什么是Ref-Long基准？它评估的是长上下文语言模型的什么能力？</t>
  </si>
  <si>
    <t>Ref-Long是一个专门设计用于评估长上下文语言模型（LCLMs）长上下文引用能力的基准。它要求LCLMs不仅要在给定文档中识别特定关键词，还要找出引用该关键词的文档索引，而不是其他相关但不匹配的文档。</t>
  </si>
  <si>
    <t xml:space="preserve"> 什么是SYNQA方法？</t>
  </si>
  <si>
    <t>SYNQA 是一种生成式上下文归因数据合成方法。核心思路是：给定选定的上下文句子，由大语言模型（LLM）生成完全受这些句子支持的问题-答案对（QA对）。该方法能够产生反映真实世界多样化问答场景的训练数据，帮助模型学习稳健的归因能力。SYNQA 同时生成以实体为中心和以对话为中心的样本，从而提升模型在不同上下文和领域的泛化能力。</t>
  </si>
  <si>
    <t>什么是Agentic Long-Context Understanding (AgenticLU)框架？</t>
  </si>
  <si>
    <t xml:space="preserve">Agentic Long-Context Understanding (AgenticLU) 是一个旨在增强大语言模型（LLM）对长上下文查询理解能力的框架。其核心是链式澄清（Chain-of-Clarifications, CoC）：模型通过自生成澄清问题、从长上下文中检索相关信息，并基于收集到的证据回答自己的澄清问题，从而动态地精炼推理和理解。
</t>
  </si>
  <si>
    <t>什么是Agentic Reasoning框架?</t>
  </si>
  <si>
    <t>Agentic Reasoning是一个通过集成外部工具使用代理来增强大型语言模型推理的框架。</t>
  </si>
  <si>
    <t>REAL-MM-RAG 基准测试旨在解决现实世界检索的四个关键属性是什么？</t>
  </si>
  <si>
    <t xml:space="preserve"> REAL-MM-RAG基准测试的四个关键属性是：(i) 多模态文档，(ii) 增强的难度，(iii) 真实的RAG查询，(iv) 准确的标注。</t>
  </si>
  <si>
    <t>ASTUTE RAG的定义是什么？有什么用?</t>
  </si>
  <si>
    <t>为了使大语言模型对不完美的检索结果更具鲁棒性，我们提出了 ASTUTE RAG，这是一种新颖的检索增强生成方法。该方法能够自适应地从大语言模型的内部知识中提取关键信息，在感知信息来源的基础上迭代整合内外部知识，并根据信息的可靠性最终生成答案。</t>
  </si>
  <si>
    <t>L-CiteEval的定义是什么？</t>
  </si>
  <si>
    <t>L-CiteEval是一个开箱即用的评估套件，用于评估长上下文模型（LCMs）的生成质量和保真度。它包含两个关键组件：（1）一个涵盖5大任务类别和11个多样化长上下文任务的综合基准测试，上下文长度从8K到48K；（2）相应的自动评估指标和验证流程，以确保稳健可靠的评估。该套件要求模型生成陈述及其支持证据（引用），从而能够有效区分不同模型在保真度方面的差异。</t>
  </si>
  <si>
    <t xml:space="preserve"> LongBench v2基准测试包含多少个问题？上下文长度范围是多少？</t>
  </si>
  <si>
    <t>LongBench v2包含503个具有挑战性的多项选择题，上下文长度范围从8,000到200万个单词。</t>
  </si>
  <si>
    <t>RHIO框架的三个主要组成部分是什么？</t>
  </si>
  <si>
    <t>RHIO框架包含三个主要组件：1.不忠实数据增强, 2.忠实度感知调优, 3.自诱导解码</t>
  </si>
  <si>
    <t>在How to Train Long-Context Language Models中的监督微调（SFT）阶段，论文作者发现使用哪种类型的数据集能够在长上下文任务上取得最佳性能？</t>
  </si>
  <si>
    <t>方法细节类</t>
  </si>
  <si>
    <t>作者发现，仅使用标准的、短上下文的指令数据集（如 UltraChat）进行微调，就能在长上下文任务上取得最佳效果。</t>
  </si>
  <si>
    <t>在"Astute RAG"中，作者提出的knowledge consolidation过程包含哪三个主要步骤？</t>
  </si>
  <si>
    <t>Knowledge Consolidation（知识整合）过程包含以下三个主要步骤：
合并一致信息：将来源不同但内容相符的信息进行聚合与确认。
识别冲突信息：检测并标记不同来源之间存在矛盾或不一致的内容。
过滤无关信息：剔除与当前查询或任务不相关的冗余内容。</t>
  </si>
  <si>
    <t>LongRefiner 在推理时如何降低在线延迟？</t>
  </si>
  <si>
    <t>将推理分为离线阶段和在线阶段。离线阶段完成文档结构化任务，在线阶段仅处理用户查询分析和自适应精炼（输入输出仅数百个 tokens），整体延迟约为标准设置的 25%。</t>
  </si>
  <si>
    <t>DRAG框架如何保护用户隐私？请描述其隐私保护机制。</t>
  </si>
  <si>
    <t>DRAG通过传输去标识化的查询和结构化知识而不是完整响应来保护用户隐私。这样可以避免传输完整的用户查询和敏感信息。</t>
  </si>
  <si>
    <t>简述 Think&amp; Cite 框架中 SG-MCTS 的工作流程及其步骤。</t>
  </si>
  <si>
    <t>SG-MCTS利用LLMs的自反思能力来推理MCTS的中间状态，以指导树扩展过程。在每次迭代中，SG-MCTS 遵循四个步骤，即选择、反思引导的扩展、评估和反向传播。</t>
  </si>
  <si>
    <t>SETR 的段落选择提示（Passage Selection Prompt）所引导的关键过程包含哪三个具体步骤？每个步骤的核心任务是什么？</t>
  </si>
  <si>
    <t>该关键过程包含以下三个步骤及其核心任务：
枚举关键信息需求： 核心任务是列出回答当前问题所必需的关键信息点；
识别相关段落： 核心任务是针对每一个已枚举的信息需求，找出包含相关信息的段落；
选择最优段落子集： 核心任务是从候选段落中挑选出一个子集，使其在整体上能提供最全面且多样化的信息覆盖，从而有效回答查询。</t>
  </si>
  <si>
    <t>Meta-Bench基准测试中，α参数的最优范围是多少？这个参数的作用是什么？</t>
  </si>
  <si>
    <t>α参数的最优范围在0.65到0.8之间。这个参数用于平衡工具描述和参数描述在工具检索中的权重。</t>
  </si>
  <si>
    <t>根据已有信息，无法回答此问题。</t>
  </si>
  <si>
    <t>CypherBench 是如何从 RDF 图生成领域特定属性图的？</t>
  </si>
  <si>
    <t>CypherBench 通过将 RDF 图转换为多个领域特定的属性图（domain-specific property graphs）来实现这一过程，并使用 Cypher 语言对其进行查询。</t>
  </si>
  <si>
    <t xml:space="preserve"> ClinRaGen框架的三阶段理由蒸馏范式是什么？</t>
  </si>
  <si>
    <t>ClinRaGen框架采用三阶段理由蒸馏范式：第一阶段从医疗笔记中蒸馏理由，让SLM发展对文本临床信息的基础理解；第二阶段引入知识增强注意力，将数值实验室测试与结构化医学知识对齐，蒸馏实验室测试为基础的理由；第三阶段完全整合文本和数值输入，使SLM能够生成临床连贯的多模态理由以支持疾病诊断。</t>
  </si>
  <si>
    <t>QAEncoder如何解决文档-查询差距问题？</t>
  </si>
  <si>
    <t>QAEncoder采用了一种无需训练的方法来弥合文档与查询之间的差距。其核心机制包含两点：
潜在查询期望估计： 在嵌入空间中估计潜在查询的期望值，将其作为文档嵌入的鲁棒替代表示，从而使文档表示在语义上更贴近查询空间。
文档指纹附加： 为这些嵌入表示附加文档指纹，以有效区分不同文档的嵌入，避免仅依赖查询期望导致的文档辨识度丢失问题。</t>
  </si>
  <si>
    <t>在 HALOGEN 的文本简化任务中，如何验证模型生成的简化文本是否忠实于原文？</t>
  </si>
  <si>
    <t>先用 GPT-3.5-turbo 将简化文本分解为独立的原子事实，再用 Llama-2-70B-chat 判断每个原子事实是否被原文蕴含。</t>
  </si>
  <si>
    <t>在"CiteEval"论文中，GPT-4o和Llama-3-70B在Cited scenario和Full scenario下的表现有何差异？</t>
  </si>
  <si>
    <t>实验结果类</t>
  </si>
  <si>
    <t>在Cited scenario下，GPT-4o表现最佳，Llama-3-70B与GPT-4o-mini相当；在Full scenario下，Llama-3-70B超越GPT-4o，取得最佳性能。</t>
  </si>
  <si>
    <t>"FaithfulRAG"在FaithEval数据集上使用Mistral-7B作为backbone时的准确率是多少？相比最强基线提高了多少？</t>
  </si>
  <si>
    <t>81.7%，比最强基线(KRE的73.2%)提高了8.5%。</t>
  </si>
  <si>
    <t>RankCoT 相对于 vanilla RAG 模型的表现如何？这说明了什么？</t>
  </si>
  <si>
    <t>RankCoT 相比 vanilla RAG 模型有 2.5% 的提升，表明它在提供更有意义的细化方面有效，有助于 LLM 更好地回答问题。</t>
  </si>
  <si>
    <t>在 HALoGEN 基准测试中，表现最好的 LLM 生成事实的幻觉率范围是多少？</t>
  </si>
  <si>
    <t>实验发现，即使是表现最好的 LLM，其生成事实的幻觉率也在 3% 到 86% 之间，具体数值取决于所属领域。</t>
  </si>
  <si>
    <t xml:space="preserve"> 在LongBench v2基准测试中，人类专家在15分钟时间限制下的准确率是多少？</t>
  </si>
  <si>
    <t>人类专家在15分钟时间限制下的准确率为53.7%。</t>
  </si>
  <si>
    <t>AGENTSTAR方法在WebShop、ALFWorld和BabyAI任务上与GPT-4-Turbo相比有何优势？</t>
  </si>
  <si>
    <t>AGENTSTAR 在这三个任务上的性能全面超越了 GPT-4-Turbo。其中在 WebShop 上的提升最为显著（远超 GPT-4-Turbo 61 个百分点），在 ALFWorld 和 BabyAI 上也分别实现了大幅领先（超过 GPT-4-Turbo 20.5 和 9.87 个百分点）。</t>
  </si>
  <si>
    <t>在Humanity's Last Exam数据集上，Agentic Reasoning与DeepSeek-R1结合的性能提升是多少？与OpenAI Deep Research的差距如何变化？</t>
  </si>
  <si>
    <t>在Humanity's Last Exam数据集上，Agentic Reasoning与DeepSeek-R1结合达到了23.8%的准确率，比基础模型提升了14.4%，与专有的OpenAI Deep Research的差距缩小到仅2.8%。</t>
  </si>
  <si>
    <t>在GAIA基准测试中，Agentic Reasoning在不同级别任务上的表现如何？</t>
  </si>
  <si>
    <t>在GAIA基准测试中，Agentic Reasoning在Level 1和Level 2任务上超越了OpenAI的Deep Research，在Level 3任务上将差距缩小到2.26%。</t>
  </si>
  <si>
    <t xml:space="preserve"> 在Asclepius医学基准测试中，人类医生与Med-MLLMs的表现对比如何？</t>
  </si>
  <si>
    <t>在Asclepius基准测试中，人类医生在所有专业领域都超过了Med-MLLMs。即使是平均准确率为57.4%的初级医生也略微超过了表现最好的Med-MLLM GPT-4V（准确率为54.3%）。这表明尽管人工智能取得了进步，但在诊断精度方面人类专业知识与当前Med-MLLMs之间仍存在差距。</t>
  </si>
  <si>
    <t>在LongDocURL基准测试中，GPT-4o的表现如何？其他开源模型呢？</t>
  </si>
  <si>
    <t>在LongDocURL基准测试中，只有GPT-4o达到了及格标准，得分为64.5，表明该基准对当前模型提出了重大挑战。在开源模型中，只有Qwen2-VL（得分30.6）和LLaVA-OneVision（得分22.0和25.0）超过了20分的阈值，其他参数少于13B的模型都低于这个阈值。</t>
  </si>
  <si>
    <t>RAGEval 提出的自动评估指标与人工评估的一致性如何？</t>
  </si>
  <si>
    <t>实验结果表明，RAGEval 的机器自动评估与人工评估在所有指标上均表现出高度一致性。两者之间的最终绝对差异仅为 1.67%。</t>
  </si>
  <si>
    <t>在利用大模型内部知识应对知识冲突时，《Astute RAG》与《FaithfulRAG》各自采用了什么核心机制/模块来提取或生成内部知识？</t>
  </si>
  <si>
    <t>跨论文比较类</t>
  </si>
  <si>
    <t>《Astute RAG》：采用自适应段落生成机制，通过提示大模型直接生成包含内部知识的段落，并允许模型自适应决定生成的段落数量。
《FaithfulRAG》：采用自我事实挖掘 模块，通过外部化大模型对问题的理解，提取出细粒度的、事实级别的内部知识。</t>
  </si>
  <si>
    <t>"UniRAG"和"FaithfulRAG"在处理查询理解方面的核心创新分别是什么？</t>
  </si>
  <si>
    <t>UniRAG提出统一的查询理解框架，集成查询增强和查询编码两个阶段；FaithfulRAG通过自我事实挖掘和自思考模块，在事实级别识别并解决参数化知识与检索上下文之间的冲突，提高语义一致性。</t>
  </si>
  <si>
    <t>比较MEMERAG和DragonBall两个基准的异同点，它们各自关注的评估维度是什么？</t>
  </si>
  <si>
    <t>相同点：两者都是多语言RAG评估基准。不同点：MEMERAG专注于多语言端到端元评估，使用母语问题并由专家评估忠实度和相关性；DragonBall是一个多场景多语言RAG全能基准，涵盖金融、法律、医疗领域，包含6,711个问题，用于评估RAG系统在不同场景下的性能。</t>
  </si>
  <si>
    <t>SYNQA 和 RHIO 分别通过什么方式生成训练数据？这两种数据生成策略在提升模型归因能力上有什么不同？</t>
  </si>
  <si>
    <t>SYNQA：通过 LLM 生成式合成完全受上下文支持的 QA 对（正样本），用于微调小模型的归因能力。
RHIO：通过选择性掩码检索头，让 LLM 自身生成模拟真实错误的不忠实样本（负样本），并与忠实样本进行联合训练。</t>
  </si>
  <si>
    <t>比较LongBench v2和AGENTGYM应用场景区别。</t>
  </si>
  <si>
    <t>LongBench v2：专注于长上下文理解的多任务评估，包含503个多项选择题，上下文长度从8k到2M单词，涵盖6个主要任务类别，用于评估LLM在长文档理解和推理方面的能力
AGENTGYM：专注于代理训练和工具使用的环境集合，包含11个不同的交互环境（如Minecraft、ScienceWorld、BabyAI等），用于训练和评估LLM代理在多样化任务中的能力</t>
  </si>
  <si>
    <t>Agentic Reasoning 与 AR-MCTS 分别采用什么核心机制来提升复杂推理能力？</t>
  </si>
  <si>
    <t>Agentic Reasoning：动态调用网页搜索、代码执行作为工具，并引入 Mind‑Map 知识图谱智能体作为结构化记忆，存储推理上下文并追踪逻辑关系。
AR-MCTS：基于蒙特卡洛树搜索（MCTS），在扩展阶段集成主动检索（Active Retrieval） 机制，自动获取逐步推理的高质量标注，渐进式提升多模态大模型的推理能力。</t>
  </si>
  <si>
    <t>MAIN‑RAG 与 RAG‑Critic 在提升 RAG 系统可靠性方面分别采用了什么核心方法？</t>
  </si>
  <si>
    <t>MAIN‑RAG 采用多智能体协作过滤机制，通过三个 LLM 智能体（Predictor、Judge、Final‑Predictor）对检索文档进行相关性评分和排序，并利用自适应阈值动态过滤噪声文档，无需训练。
RAG‑Critic 采用批评引导的智能体工作流，首先构建层次化 RAG 错误系统（3 级错误类型，含 4000+ 细粒度标签），然后训练轻量级错误批评模型进行自动错误诊断，最后通过规划智能体根据错误反馈定制并执行修正方案。</t>
  </si>
  <si>
    <t>在构建可靠的问答（QA）系统时，这QAEncoder与On Synthesizing Data for Context Attribution in Question Answering两篇论文分别侧重于优化系统工作流的哪个阶段？它们各自试图解决的核心痛点是什么？</t>
  </si>
  <si>
    <t>《QAEncoder》侧重于“检索阶段”
核心痛点：用户的自然语言查询与知识库中的文档之间存在语义和词汇上的鸿沟，导致检索模块无法精准召回相关文档。
《On Synthesizing Data for Context Attribution... (SYNQA)》侧重于“生成后阶段”
核心痛点：大语言模型在生成答案时容易产生幻觉，用户很难验证生成的答案是否真的基于提供的上下文，缺乏可解释性和事实依据。</t>
  </si>
  <si>
    <t>这10篇论文中哪一篇提出了名为"RAG-Guard"的安全防护框架？</t>
  </si>
  <si>
    <t>不可回答类</t>
  </si>
  <si>
    <t>无法回答。</t>
  </si>
  <si>
    <t>"ProLong"模型在训练过程中使用了哪种具体的优化器来处理长序列训练的梯度问题？</t>
  </si>
  <si>
    <t>SETR模型在训练时具体的训练时间是多少小时？</t>
  </si>
  <si>
    <t xml:space="preserve"> L-CiteEval基准中使用的NLI模型deberta-base-long-nli的准确率是多少？该模型在哪些具体数据集上进行了训练？</t>
  </si>
  <si>
    <t>论文中是否提到了SYNQA方法在医疗领域的具体应用案例？</t>
  </si>
  <si>
    <t>论文中是否提供了RHIO方法在实时应用场景中的延迟测试数据？</t>
  </si>
  <si>
    <t>Agentic Reasoning框架中使用的Mind-Map agent的具体神经网络架构是什么？</t>
  </si>
  <si>
    <t>在CypherBench基准测试中，每个问题模板具体包含多少个训练样本？</t>
  </si>
  <si>
    <t>【总体平均值】</t>
  </si>
  <si>
    <t>【定义类平均值】</t>
  </si>
  <si>
    <t>【方法细节类平均值】</t>
  </si>
  <si>
    <t>【实验结果类平均值】</t>
  </si>
  <si>
    <t>【跨论文比较类平均值】</t>
  </si>
  <si>
    <t>【不可回答类平均值】</t>
  </si>
  <si>
    <t>作者将post-training scaling分为三个主要方法：有监督微调（Supervised Fine-tuning, SFT）、强化学习（Reinforcement Learning, RL）和测试时计算（Test-time Compute, TTC）。
来自: [A Survey of Post-Training Scaling in Large Language Models, 第2页, A Survey of Post-Training Scaling in Large Language Models_chunk_002]</t>
  </si>
  <si>
    <t>Silver noise是指包含部分但不完整答案的噪声攻击文本。
来自: [SafeRAG: Benchmarking Security in Retrieval-Augmented Generation of Large Language Model, 第3页, SafeRAG: Benchmarking Security in Retrieval-Augmented Generation of Large Language Model_chunk_004]</t>
  </si>
  <si>
    <t>RAG噪声被分为有益噪声（beneficial noise）和有害噪声（harmful noise）两类。
来自: [Pandora’s Box or Aladdin’s Lamp: A Comprehensive Analysis Revealing the Role of RAG Noise in Large Language Models, 第2页, Pandora’s Box or Aladdin’s Lamp: A Comprehensive Analysis Revealing the Role of RAG Noise in Large Language Models_chunk_001]</t>
  </si>
  <si>
    <t>Ref-Long是一个用于评估长上下文语言模型（LCLMs）的长上下文引用能力的基准，它要求模型识别引用特定键的文档索引，强调键与文档之间的上下文关系而非简单检索。
来自: [Ref-Long: Benchmarking the Long-context Referencing Capability of Long-context Language Models, 第1页, Ref-Long: Benchmarking the Long-context Referencing Capability of Long-context Language Models_chunk_000]</t>
  </si>
  <si>
    <t>SYNQA是一种生成式方法，通过给定选定的上下文句子，让大语言模型生成完全由这些句子支持的问答对，从而合成上下文归因训练数据。
来自: [On Synthesizing Data for Context Attribution in Question Answering, 第2页, On Synthesizing Data for Context Attribution in Question Answering_chunk_001]</t>
  </si>
  <si>
    <t>AgenticLU是一个框架，旨在通过将目标自我澄清与上下文基础整合到代理工作流中，来增强大型语言模型对长上下文查询的理解。
来自: [Self-Taught Agentic Long-Context Understanding, 第1页, Self-Taught Agentic Long-Context Understanding_chunk_000]</t>
  </si>
  <si>
    <t>Agentic Reasoning是一个通过集成外部基于LLM的代理作为工具来增强推理的框架。
来自: [Agentic Reasoning: A Streamlined Framework for Enhancing LLM Reasoning with Agentic Tools, 第1页, Agentic Reasoning: A Streamlined Framework for Enhancing LLM Reasoning with Agentic Tools_chunk_001]</t>
  </si>
  <si>
    <t>在Humanity's Last Exam上，Agentic Reasoning与DeepSeek-R1结合后准确率达到23.8%，相比基础模型DeepSeek-R1（9.4%）提升了14.4个百分点。与OpenAI Deep Research（26.6%）的差距从原来的17.2%缩小至仅2.8%。
来自: [Agentic Reasoning: A Streamlined Framework for Enhancing LLM Reasoning with Agentic Tools, 第1页, Agentic Reasoning: A Streamlined Framework for Enhancing LLM Reasoning with Agentic Tools_chunk_000]</t>
  </si>
  <si>
    <t>在GAIA基准测试中，Agentic Reasoning在Level 1上达到74.36，Level 2上达到69.21，Level 3上达到45.46，平均分为66.13。
来自: [Agentic Reasoning: A Streamlined Framework for Enhancing LLM Reasoning with Agentic Tools, 第5页, Agentic Reasoning: A Streamlined Framework for Enhancing LLM Reasoning with Agentic Tools_chunk_004]</t>
  </si>
  <si>
    <t>REAL-MM-RAG 基准测试旨在解决的四个关键属性是：(i) 多模态文档，(ii) 增强难度，(iii) 现实RAG查询，以及 (iv) 准确标注。
来自: [REAL-MM-RAG:AReal-World Multi-Modal Retrieval Benchmark, 第1页, REAL-MM-RAG:AReal-World Multi-Modal Retrieval Benchmark_chunk_000]</t>
  </si>
  <si>
    <t>ASTUTE RAG是一种新颖的检索增强生成方法，通过自适应引出LLM内部知识、迭代整合内外部知识并根据信息可靠性确定答案，旨在使LLM对不完美检索具有鲁棒性，提升RAG系统的可靠性。
来自: [ASTUTE RAG: Overcoming Imperfect Retrieval Augmentation and Knowledge Conflicts for Large Language Models, 第1页, ASTUTE RAG: Overcoming Imperfect Retrieval Augmentation and Knowledge Conflicts for Large Language Models_chunk_000]</t>
  </si>
  <si>
    <t>ASTUTE RAG 的 knowledge consolidation 过程（即整个方法）包含三个主要步骤：自适应生成内部知识（adaptive generation of internal knowledge）、源感知的知识整合（source-aware knowledge consolidation）和答案最终确定（answer finalization）。
来自: [ASTUTE RAG: Overcoming Imperfect Retrieval Augmentation and Knowledge Conflicts for Large Language Models, 第4页, ASTUTE RAG: Overcoming Imperfect Retrieval Augmentation and Knowledge Conflicts for Large Language Models_chunk_004]</t>
  </si>
  <si>
    <t>L-CiteEval是一个开箱即用的评估套件，用于评估长上下文理解任务中的生成质量和忠实度。
来自: [L-CiteEval: A Suite for Evaluating Fidelity of Long-context Models, 第1页, L-CiteEval: A Suite for Evaluating Fidelity of Long-context Models_chunk_000]</t>
  </si>
  <si>
    <t>LongBench v2 包含 503 个多项选择题，上下文长度范围从 8k 到 2M 词。
来自: [LongBench v2: Towards Deeper Understanding and Reasoning on Realistic Long-context Multitasks, 第1页, LongBench v2: Towards Deeper Understanding and Reasoning on Realistic Long-context Multitasks_chunk_000]</t>
  </si>
  <si>
    <t>人类专家在15分钟时间限制下的准确率为53.7%。
来自: [LongBench v2: Towards Deeper Understanding and Reasoning on Realistic Long-context Multitasks, 第1页, LongBench v2: Towards Deeper Understanding and Reasoning on Realistic Long-context Multitasks_chunk_000]</t>
  </si>
  <si>
    <t>RHIO框架的三个主要组成部分是：无忠实数据增强（Unfaithful Data Augmentation）、忠实性感知调优（Faithfulness-aware Tuning）和自诱导解码（Self-induced Decoding）。
来自: [Improving Contextual Faithfulness of Large Language Models via Retrieval Heads-Induced Optimization, 第14页, Improving Contextual Faithfulness of Large Language Models via Retrieval Heads-Induced Optimization_chunk_014]</t>
  </si>
  <si>
    <t>SYNQA 采用生成式方法：从 Wikipedia 选取上下文句子，由 LLM 生成完全由这些句子支持的问答对，并加入干扰项，从而构建合成归因训练数据。RHIO 则通过屏蔽检索头诱导产生不忠实样本，利用这些负样本进行忠实度感知微调（faithfulness-aware tuning），并结合自诱导解码来提升模型忠实度。
在提升模型归因能力上，SYNQA 直接训练模型执行上下文归因任务（识别支持答案的句子），使小模型在归因精度和召回率上超越大模型；RHIO 则通过增强模型对上下文忠实度的感知，间接改善生成回答时的证据忠实性，而非直接训练归因标注能力。
来自: [On Synthesizing Data for Context Attribution in Question Answering, 第2页, On Synthesizing Data for Context Attribution in Question Answering_chunk_001]
来自: [On Synthesizing Data for Context Attribution in Question Answering, 第2页, On Synthesizing Data for Context Attribution in Question Answering_chunk_002]
来自: [Improving Contextual Faithfulness of Large Language Models via Retrieval Heads-Induced Optimization, 第7页, Improving Contextual Faithfulness of Large Language Models via Retrieval Heads-Induced Optimization_chunk_008]
来自: [Improving Contextual Faithfulness of Large Language Models via Retrieval Heads-Induced Optimization, 第6页, Improving Contextual Faithfulness of Large Language Models via Retrieval Heads-Induced Optimization_chunk_007]</t>
  </si>
  <si>
    <t>在监督微调（SFT）阶段，论文作者发现仅使用短上下文指令数据集（short-context SFT data）就能在长上下文任务上取得最佳性能。
来自: [How to Train Long-Context Language Models (Effectively), 第22页, How to Train Long-Context Language Models (Effectively)_chunk_021]</t>
  </si>
  <si>
    <t>ProLong 模型在训练过程中使用的优化器是 AdamW。
来自: [How to Train Long-Context Language Models (Effectively), 第13页, How to Train Long-Context Language Models (Effectively)_chunk_013]</t>
  </si>
  <si>
    <t>LongRefiner 将推理过程拆分为离线与在线两个阶段：离线阶段预先对语料库中的文档完成层次化文档结构化任务；在线阶段仅需对用户查询进行分析并执行自适应精炼，处理数百个输入 token 并生成数十个输出 token，使整体在线延迟降至标准设置的约 25%。
来自: [Hierarchical Document Refinement for Long-context Retrieval-augmented Generation, 第6页, Hierarchical Document Refinement for Long-context Retrieval-augmented Generation_chunk_006]</t>
  </si>
  <si>
    <t>DRAG框架通过本地小模型先对查询进行重新表述，剥离其中的敏感信息，然后将去标识化的查询发送给云端大模型；云端模型仅返回相关的证据和知识图谱，而非完整回答；本地模型再利用这些结构化信息生成最终答案，从而确保用户隐私数据不泄露给云端。
来自: [DRAG: Distilling RAG for SLMs from LLMs to Transfer Knowledge and Mitigate Hallucination via Evidence and Graph-based Distillation, 第4页, DRAG: Distilling RAG for SLMs from LLMs to Transfer Knowledge and Mitigate Hallucination via Evidence and Graph-based Distillation_chunk_004]</t>
  </si>
  <si>
    <t>SG-MCTS 的工作流程遵循蒙特卡洛树搜索的四个步骤：选择、反思引导的扩展、评估和回传。在选择阶段，利用 UCT 算法从搜索树中选出最优节点。在扩展阶段，通过“思考-表达-引用”过程生成后继节点，并引入反思步骤，让模型对初始查询进行自我反思和修正，以获取更相关的证据，从而生成更准确的句子和引用。评估阶段使用进度奖励模型计算新节点的期望奖励，包括生成进度奖励和归因进度奖励。最后，回传阶段将奖励值沿路径向上更新节点统计信息。
来自: [Think&amp;Cite: Improving Attributed Text Generation with Self-Guided Tree Search and Progress Reward Modeling, 第3页, Think&amp;Cite: Improving Attributed Text Generation with Self-Guided Tree Search and Progress Reward Modeling_chunk_002]  
来自: [Think&amp;Cite: Improving Attributed Text Generation with Self-Guided Tree Search and Progress Reward Modeling, 第4页, Think&amp;Cite: Improving Attributed Text Generation with Self-Guided Tree Search and Progress Reward Modeling_chunk_003]</t>
  </si>
  <si>
    <t>SETR 的段落选择提示引导的关键过程包含三个步骤：(1) 枚举回答问题的关键信息需求；(2) 为每个需求识别包含相关信息的段落；(3) 选择一个段落子集，这些段落共同提供最全面和多样化的覆盖以有效回答查询。
来自: [Shifting from Ranking to Set Selection for Retrieval Augmented Generation, 第3页, Shifting from Ranking to Set Selection for Retrieval Augmented Generation_chunk_003]</t>
  </si>
  <si>
    <t>CypherBench 通过两个主要步骤从 RDF 图生成领域特定属性图：首先，人工为选定领域策划属性图模式，并建立与 Wikidata 标识符的映射（如实体类型 QID、关系类型 PID 及其属性）；然后，自动转换引擎根据策划的模式向 Wikidata 发出 SPARQL 查询，获取符合模式的所有实体和关系，并执行数据类型转换、单位标准化、排名过滤等处理，最终将结果聚合为属性图并存储。
来自: [CYPHERBENCH: Towards Precise Retrieval over Full-scale Modern Knowledge Graphs in the LLM Era, 第4页, CYPHERBENCH: Towards Precise Retrieval over Full-scale Modern Knowledge Graphs in the LLM Era_chunk_004]</t>
  </si>
  <si>
    <t>ClinRaGen的三阶段理由蒸馏范式依次为：第一阶段从医疗笔记中蒸馏理由，使SLM建立文本临床推理基础；第二阶段通过知识增强注意力模块注入结构化医学知识，蒸馏基于实验室检验的理由；第三阶段完全整合文本与数值输入，生成多模态临床理由。
来自: [Knowledge-Augmented Multimodal Clinical Rationale Generation for Disease Diagnosis with Small Language Models, 第3页, Knowledge-Augmented Multimodal Clinical Rationale Generation for Disease Diagnosis with Small Language Models_chunk_003] 和 [Knowledge-Augmented Multimodal Clinical Rationale Generation for Disease Diagnosis with Small Language Models, 第4页, Knowledge-Augmented Multimodal Clinical Rationale Generation for Disease Diagnosis with Small Language Models_chunk_004]</t>
  </si>
  <si>
    <t>QAEncoder 通过两步弥合文档-查询差距：首先，为每个文档生成一组潜在查询，并用这些查询嵌入的期望（即 QAE_base）作为文档的鲁棒替代表示，从而将文档嵌入向查询语义对齐；其次，引入文档指纹策略（如 QAE_emb、QAE_txt 或 QAE_hyb），将原始文档的独有特征重新注入到对齐后的表示中，以保持文档间的可区分性。
来自: [QAEncoder: Towards Aligned Representation Learning in Question Answering Systems, 第1页, QAEncoder: Towards Aligned Representation Learning in Question Answering Systems_chunk_000]  
来自: [QAEncoder: Towards Aligned Representation Learning in Question Answering Systems, 第4页, QAEncoder: Towards Aligned Representation Learning in Question Answering Systems_chunk_004]</t>
  </si>
  <si>
    <t>QAEncoder侧重于优化QA系统的**检索阶段**，其核心痛点是**文档与用户查询之间的语义差距**（document-query gap），导致难以精确匹配相关内容。  
On Synthesizing Data for Context Attribution in Question Answering侧重于优化QA系统的**生成后归因/验证阶段**，其核心痛点是**大语言模型生成答案时的幻觉问题**，导致内容不可信，需要为生成内容提供证据支撑。
来自: [QAEncoder: Towards Aligned Representation Learning in Question Answering Systems, 第1页, QAEncoder: Towards Aligned Representation Learning in Question Answering Systems_chunk_000]  
来自: [On Synthesizing Data for Context Attribution in Question Answering, 第1页, On Synthesizing Data for Context Attribution in Question Answering_chunk_000]</t>
  </si>
  <si>
    <t>在文本简化任务中，采用与摘要任务相同的验证流程：先用 GPT-3.5 将生成的简化文本分解为独立事实，再用 Llama-2-70B 判断每个原子事实是否被原文蕴含。
来自: [HALOGEN :FantasticLLMHallucinations and Where to Find Them, 第3页, HALOGEN :FantasticLLMHallucinations and Where to Find Them_chunk_003]</t>
  </si>
  <si>
    <t>在Cited scenario中，GPT-4o是表现最好的模型，而Llama-3-70B与GPT-4o-mini相当；在Full scenario中，Llama-3-70B优于GPT-4o，达到最佳性能。具体分数显示，GPT-4o在Cited scenario得分为0.949，Llama-3-70B为0.926；在Full scenario，Llama-3-70B得分为0.909，GPT-4o为0.898。
来自: [CiteEval: Principle-Driven Citation Evaluation for Source Attribution, 第7页, CiteEval: Principle-Driven Citation Evaluation for Source Attribution_chunk_008] 和 [CiteEval: Principle-Driven Citation Evaluation for Source Attribution, 第7页, CiteEval: Principle-Driven Citation Evaluation for Source Attribution_chunk_007]</t>
  </si>
  <si>
    <t>FaithfulRAG在FaithEval数据集上使用Mistral-7B作为backbone时的准确率为81.7%，相比最强基线（KRE的73.2%）提高了8.5%。
来自: [FaithfulRAG: Fact-Level Conflict Modeling for Context-Faithful Retrieval-Augmented Generation, 第7页, FaithfulRAG: Fact-Level Conflict Modeling for Context-Faithful Retrieval-Augmented Generation_chunk_009]</t>
  </si>
  <si>
    <t>FaithfulRAG 采用 **Self-Fact Mining（自我事实挖掘）** 模块，通过“自我知识提取 → 自我上下文生成 → 自我事实提取”的三阶段层次化流程，将大模型的参数化知识外部化为具体的、细粒度的事实断言。  
Astute RAG 则采用 **自适应内部知识生成（adaptive generation of internal knowledge）** 机制，根据查询自适应地从大模型内部知识中生成最准确、相关且完整的段落集合。
来自: [FaithfulRAG: Fact-Level Conflict Modeling for Context-Faithful Retrieval-Augmented Generation, 第3页, FaithfulRAG: Fact-Level Conflict Modeling for Context-Faithful Retrieval-Augmented Generation_chunk_004]  
来自: [ASTUTE RAG: Overcoming Imperfect Retrieval Augmentation and Knowledge Conflicts for Large Language Models, 第4页, ASTUTE RAG: Overcoming Imperfect Retrieval Augmentation and Knowledge Conflicts for Large Language Models_chunk_004]</t>
  </si>
  <si>
    <t>RankCoT 在多个基准上均优于 vanilla RAG 模型：在 DPO 训练设置下，平均准确率提升约 2.5%；在 MiniCPM3‑4B 和 Qwen2.5‑14B‑Instruct 构建的 RAG 系统上，分别带来 7.6% 和 4.1% 的提升。这说明 RankCoT 能够生成更有意义的精炼知识，有效帮助 LLM 更准确地回答问题，同时避免直接输入原始文档带来的噪声和信息损失。
来自: [RankCoT: Refining Knowledge for Retrieval-Augmented Generation through Ranking Chain-of-Thoughts, 第5页, RankCoT: Refining Knowledge for Retrieval-Augmented Generation through Ranking Chain-of-Thoughts_chunk_006] 和 [RankCoT: Refining Knowledge for Retrieval-Augmented Generation through Ranking Chain-of-Thoughts, 第6页, RankCoT: Refining Knowledge for Retrieval-Augmented Generation through Ranking Chain-of-Thoughts_chunk_008]</t>
  </si>
  <si>
    <t>在 HALoGEN 基准测试中，表现最好的 LLM（GPT-4）生成事实的幻觉率范围是 3% 到 86%，具体取决于任务领域。
来自: [HALOGEN :FantasticLLMHallucinations and Where to Find Them, 第1页, HALOGEN :FantasticLLMHallucinations and Where to Find Them_chunk_000]</t>
    <phoneticPr fontId="2" type="noConversion"/>
  </si>
  <si>
    <t>AGENTSTAR在WebShop上比GPT-4-Turbo高出61.00点，在ALFWorld上高出20.50点，在BabyAI上高出9.87点。
来自: [AGENTGYM: Evaluating and Training Large Language Model-based Agents across Diverse Environments, 第7页, AGENTGYM: Evaluating and Training Large Language Model-based Agents across Diverse Environments_chunk_009]</t>
  </si>
  <si>
    <t>AGENTGYM 是一个面向 LLM-based agent 的交互式框架，聚焦于多轮决策任务，覆盖 7 个真实场景、14 个环境和 89 个任务，用于 agent 的统一评估与训练。LongBench v2 则是一个长文本理解基准，包含 503 道需要深度理解和推理的多选题，覆盖单文档/多文档 QA、长上下文学习、长对话历史、代码仓库、长结构化数据等 6 类任务，用于评估模型在长上下文下的深层理解与推理能力。简言之，前者服务于 agent 的交互决策场景，后者服务于长文本的静态理解与推理场景。
来自: [AGENTGYM: Evaluating and Training Large Language Model-based Agents across Diverse Environments, 第1页, AGENTGYM: Evaluating and Training Large Language Model-based Agents across Diverse Environments_chunk_000]
来自: [LongBench v2: Towards Deeper Understanding and Reasoning on Realistic Long-context Multitasks, 第1页, LongBench v2: Towards Deeper Understanding and Reasoning on Realistic Long-context Multitasks_chunk_000]
来自: [LongBench v2: Towards Deeper Understanding and Reasoning on Realistic Long-context Multitasks, 第2页, LongBench v2: Towards Deeper Understanding and Reasoning on Realistic Long-context Multitasks_chunk_001]</t>
  </si>
  <si>
    <t>在Asclepius基准测试中，人类医生在所有专科的诊断准确性上均优于Med-MLLMs。例如，一位平均准确率为57.4%的初级医生也略微超过了表现最好的Med-MLLM GPT-4V（准确率54.3%）。不过，GPT-4V的表现已与初级医生相当，显示出辅助诊断的潜力。此外，与人类医生在不同专科间表现差异较大的情况相比，Med-MLLMs的表现变异性明显更低，显示出更标准化的诊断能力。
来自: [Asclepius: A Spectrum Evaluation Benchmark for Medical Multi-Modal Large Language Models, 第7页, Asclepius: A Spectrum Evaluation Benchmark for Medical Multi-Modal Large Language Models_chunk_008]
来自: [Asclepius: A Spectrum Evaluation Benchmark for Medical Multi-Modal Large Language Models, 第7页, Asclepius: A Spectrum Evaluation Benchmark for Medical Multi-Modal Large Language Models_chunk_007]</t>
  </si>
  <si>
    <t>在LongDocURL基准测试中，GPT-4o是表现最佳的模型，得分64.5，是唯一达到及格标准的模型。开源模型整体表现较差，其中得分最高的是Qwen2-VL（30.6分），LLaVA-OneVision（得分22.0和25.0）也超过了20分，其余开源模型得分均低于20。
来自: [LongDocURL: a Comprehensive Multimodal Long Document Benchmark Integrating Understanding, Reasoning, and Locating, 第6页, LongDocURL: a Comprehensive Multimodal Long Document Benchmark Integrating Understanding, Reasoning, and Locating_chunk_006]
来自: [LongDocURL: a Comprehensive Multimodal Long Document Benchmark Integrating Understanding, Reasoning, and Locating, 第1页, LongDocURL: a Comprehensive Multimodal Long Document Benchmark Integrating Understanding, Reasoning, and Locating_chunk_001]</t>
  </si>
  <si>
    <t>RAGEval 提出的三个自动评估指标（Completeness、Irrelevancy、Hallucination）与人工评估均表现出高度一致性。其中，Completeness 的 Spearman 相关系数为 0.8536，Pearson 相关系数为 0.8549；Irrelevancy 的 Spearman 为 0.7589，Pearson 为 0.7568；Hallucination 的 Spearman 为 0.7983，Pearson 为 0.7851，所有相关性均具有统计显著性（p &lt; 0.0001）。
来自: [RAGEval: Scenario Specific RAG Evaluation Dataset Generation Framework, 第12页, RAGEval: Scenario Specific RAG Evaluation Dataset Generation Framework_chunk_011]</t>
  </si>
  <si>
    <t>UniRAG的核心创新在于采用统一的解码器仅LLM联合执行查询增强与编码，消除任务分离，并能够根据用户查询自适应选择最优增强策略（查询释义、扩展或抽象）。FaithfulRAG的核心创新在于通过自事实挖掘模块将LLM对问题的理解外部化为事实级知识，并借助上下文对齐与自思考模块识别和解决知识冲突，从而在生成阶段实现忠实性。
来自: [UniRAG: Unified Query Understanding Method for Retrieval Augmented Generation, 第1页, UniRAG: Unified Query Understanding Method for Retrieval Augmented Generation_chunk_000] 和 [FaithfulRAG: Fact-Level Conflict Modeling for Context-Faithful Retrieval-Augmented Generation, 第2页, FaithfulRAG: Fact-Level Conflict Modeling for Context-Faithful Retrieval-Augmented Generation_chunk_002]</t>
  </si>
  <si>
    <t>MEMERAG和DragonBall都是用于评估RAG系统的基准，但它们的侧重点和评估维度有所不同。
**相同点**：两者都旨在评估RAG系统生成答案的质量，并且都关注答案与问题或上下文的相关性/无关性。
**不同点**：
- **评估维度**：MEMERAG主要关注**忠实度（Faithfulness）**和**相关性（Relevance）**两个维度。忠实度衡量答案是否基于提供的上下文，相关性衡量答案是否与问题相关。而DragonBall（RAGEval框架下的基准）引入了三个新指标：**完整性（Completeness）**、**幻觉（Hallucination）**和**无关性（Irrelevance）**，用于评估生成答案的事实准确性。
- **语言覆盖**：MEMERAG是一个多语言基准，涵盖英语、德语、西班牙语、法语和印地语。DragonBall则主要包含中文和英文的数据集。
- **基准类型**：MEMERAG是一个元评估基准，其目的是通过人类判断来开发和评估自动评估器。DragonBall是一个场景特定的RAG评估基准，用于分析RAG系统各组件的性能。
来自: [MEMERAG:AMultilingual End-to-End Meta-Evaluation Benchmark for Retrieval Augmented Generation, 第3页, MEMERAG:AMultilingual End-to-End Meta-Evaluation Benchmark for Retrieval Augmented Generation_chunk_003]
来自: [RAGEval: Scenario Specific RAG Evaluation Dataset Generation Framework, 第2页, RAGEval: Scenario Specific RAG Evaluation Dataset Generation Framework_chunk_001]
来自: [MEMERAG:AMultilingual End-to-End Meta-Evaluation Benchmark for Retrieval Augmented Generation, 第1页, MEMERAG:AMultilingual End-to-End Meta-Evaluation Benchmark for Retrieval Augmented Generation_chunk_000]</t>
  </si>
  <si>
    <t>Agentic Reasoning 通过集成外部基于大语言模型的智能体（如网络搜索、代码执行和思维导图）作为工具来增强推理能力；AR-MCTS 则通过主动检索（Active Retrieval）与蒙特卡洛树搜索（Monte Carlo Tree Search）相结合，逐步提升多模态推理能力。
来自: [Agentic Reasoning: A Streamlined Framework for Enhancing LLM Reasoning with Agentic Tools, 第1页, Agentic Reasoning: A Streamlined Framework for Enhancing LLM Reasoning with Agentic Tools_chunk_001]
来自: [Progressive Multimodal Reasoning via Active Retrieval, 第1页, Progressive Multimodal Reasoning via Active Retrieval_chunk_000]</t>
  </si>
  <si>
    <t>MAIN-RAG 采用训练无关的多代理方法，通过评分和自适应阈值过滤噪声文档来提升可靠性。RAG-Critic 采用批评引导的代理工作流，通过数据驱动的错误挖掘和层次化错误系统进行错误纠正来提升可靠性。
来自: [MAIN-RAG: Multi-Agent Filtering Retrieval-Augmented Generation, 第2页, MAIN-RAG: Multi-Agent Filtering Retrieval-Augmented Generation_chunk_002]
来自: [MAIN-RAG: Multi-Agent Filtering Retrieval-Augmented Generation, 第6页, MAIN-RAG: Multi-Agent Filtering Retrieval-Augmented Generation_chunk_006]
来自: [RAG-Critic: Leveraging Automated Critic-Guided Agentic Workflow for Retrieval Augmented Generation, 第9页, RAG-Critic: Leveraging Automated Critic-Guided Agentic Workflow for Retrieval Augmented Generation_chunk_010]
来自: [RAG-Critic: Leveraging Automated Critic-Guided Agentic Workflow for Retrieval Augmented Generation, 第8页, RAG-Critic: Leveraging Automated Critic-Guided Agentic Workflow for Retrieval Augmented Generation_chunk_009]
来自: [RAG-Critic: Leveraging Automated Critic-Guided Agentic Workflow for Retrieval Augmented Generation, 第24页, RAG-Critic: Leveraging Automated Critic-Guided Agentic Workflow for Retrieval Augmented Generation_chunk_021]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</si>
</sst>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xf numFmtId="0" fontId="1" fillId="2" borderId="1" xfId="0" applyFont="1" applyFill="1" applyBorder="1" applyAlignment="1">
      <alignment horizontal="center" vertical="center" wrapText="1"/>
    </xf>
    <xf numFmtId="0" fontId="0" fillId="2" borderId="0" xfId="0" applyFill="1"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8"/>
  <sheetViews>
    <sheetView tabSelected="1" topLeftCell="A43" workbookViewId="0">
      <selection activeCell="G44" sqref="G44"/>
    </sheetView>
  </sheetViews>
  <sheetFormatPr defaultRowHeight="14" x14ac:dyDescent="0.25"/>
  <cols>
    <col min="1" max="1" width="20.54296875" style="2" customWidth="1"/>
    <col min="2" max="2" width="9.90625" style="2" customWidth="1"/>
    <col min="3" max="4" width="20.54296875" style="2" customWidth="1"/>
    <col min="5" max="8" width="8.7265625" style="2"/>
    <col min="9" max="9" width="8.7265625" style="4"/>
    <col min="10" max="16384" width="8.7265625" style="2"/>
  </cols>
  <sheetData>
    <row r="1" spans="1:15" ht="42" x14ac:dyDescent="0.25">
      <c r="A1" s="1" t="s">
        <v>0</v>
      </c>
      <c r="B1" s="1" t="s">
        <v>1</v>
      </c>
      <c r="C1" s="1" t="s">
        <v>2</v>
      </c>
      <c r="D1" s="1" t="s">
        <v>3</v>
      </c>
      <c r="E1" s="1" t="s">
        <v>4</v>
      </c>
      <c r="F1" s="1" t="s">
        <v>5</v>
      </c>
      <c r="G1" s="1" t="s">
        <v>6</v>
      </c>
      <c r="H1" s="1" t="s">
        <v>7</v>
      </c>
      <c r="I1" s="3" t="s">
        <v>8</v>
      </c>
      <c r="J1" s="1" t="s">
        <v>9</v>
      </c>
      <c r="K1" s="1" t="s">
        <v>10</v>
      </c>
      <c r="L1" s="1" t="s">
        <v>11</v>
      </c>
      <c r="M1" s="1" t="s">
        <v>12</v>
      </c>
      <c r="N1" s="1" t="s">
        <v>13</v>
      </c>
      <c r="O1" s="1" t="s">
        <v>14</v>
      </c>
    </row>
    <row r="2" spans="1:15" ht="280" x14ac:dyDescent="0.25">
      <c r="A2" s="2" t="s">
        <v>15</v>
      </c>
      <c r="B2" s="2" t="s">
        <v>16</v>
      </c>
      <c r="C2" s="2" t="s">
        <v>17</v>
      </c>
      <c r="D2" s="2" t="s">
        <v>120</v>
      </c>
      <c r="E2" s="2">
        <v>1</v>
      </c>
      <c r="F2" s="2">
        <v>1</v>
      </c>
      <c r="G2" s="2">
        <v>1</v>
      </c>
      <c r="H2" s="2">
        <v>1</v>
      </c>
      <c r="I2" s="4">
        <v>1</v>
      </c>
      <c r="J2" s="2">
        <v>1</v>
      </c>
      <c r="K2" s="2" t="b">
        <v>0</v>
      </c>
      <c r="L2" s="2">
        <v>3</v>
      </c>
      <c r="M2" s="2">
        <v>0</v>
      </c>
      <c r="N2" s="2">
        <v>0</v>
      </c>
    </row>
    <row r="3" spans="1:15" ht="112" x14ac:dyDescent="0.25">
      <c r="A3" s="2" t="s">
        <v>18</v>
      </c>
      <c r="B3" s="2" t="s">
        <v>16</v>
      </c>
      <c r="C3" s="2" t="s">
        <v>19</v>
      </c>
      <c r="D3" s="2" t="s">
        <v>121</v>
      </c>
      <c r="E3" s="2">
        <v>0</v>
      </c>
      <c r="F3" s="2">
        <v>0</v>
      </c>
      <c r="G3" s="2">
        <v>0</v>
      </c>
      <c r="H3" s="2">
        <v>0</v>
      </c>
      <c r="I3" s="4">
        <v>0</v>
      </c>
      <c r="J3" s="2">
        <v>1</v>
      </c>
      <c r="K3" s="2" t="b">
        <v>0</v>
      </c>
      <c r="L3" s="2">
        <v>1</v>
      </c>
      <c r="M3" s="2">
        <v>0</v>
      </c>
      <c r="N3" s="2">
        <v>0</v>
      </c>
    </row>
    <row r="4" spans="1:15" ht="182" x14ac:dyDescent="0.25">
      <c r="A4" s="2" t="s">
        <v>20</v>
      </c>
      <c r="B4" s="2" t="s">
        <v>16</v>
      </c>
      <c r="C4" s="2" t="s">
        <v>21</v>
      </c>
      <c r="D4" s="2" t="s">
        <v>122</v>
      </c>
      <c r="E4" s="2">
        <v>1</v>
      </c>
      <c r="F4" s="2">
        <v>1</v>
      </c>
      <c r="G4" s="2">
        <v>1</v>
      </c>
      <c r="H4" s="2">
        <v>1</v>
      </c>
      <c r="I4" s="4">
        <v>1</v>
      </c>
      <c r="J4" s="2">
        <v>1</v>
      </c>
      <c r="K4" s="2" t="b">
        <v>0</v>
      </c>
      <c r="L4" s="2">
        <v>1</v>
      </c>
      <c r="M4" s="2">
        <v>0</v>
      </c>
      <c r="N4" s="2">
        <v>0</v>
      </c>
    </row>
    <row r="5" spans="1:15" ht="196" x14ac:dyDescent="0.25">
      <c r="A5" s="2" t="s">
        <v>22</v>
      </c>
      <c r="B5" s="2" t="s">
        <v>16</v>
      </c>
      <c r="C5" s="2" t="s">
        <v>23</v>
      </c>
      <c r="D5" s="2" t="s">
        <v>123</v>
      </c>
      <c r="E5" s="2">
        <v>1</v>
      </c>
      <c r="F5" s="2">
        <v>1</v>
      </c>
      <c r="G5" s="2">
        <v>1</v>
      </c>
      <c r="H5" s="2">
        <v>1</v>
      </c>
      <c r="I5" s="4">
        <v>1</v>
      </c>
      <c r="J5" s="2">
        <v>0.8</v>
      </c>
      <c r="K5" s="2" t="b">
        <v>0</v>
      </c>
      <c r="L5" s="2">
        <v>2</v>
      </c>
      <c r="M5" s="2">
        <v>0</v>
      </c>
      <c r="N5" s="2">
        <v>1</v>
      </c>
    </row>
    <row r="6" spans="1:15" ht="294" x14ac:dyDescent="0.25">
      <c r="A6" s="2" t="s">
        <v>24</v>
      </c>
      <c r="B6" s="2" t="s">
        <v>16</v>
      </c>
      <c r="C6" s="2" t="s">
        <v>25</v>
      </c>
      <c r="D6" s="2" t="s">
        <v>124</v>
      </c>
      <c r="E6" s="2">
        <v>1</v>
      </c>
      <c r="F6" s="2">
        <v>1</v>
      </c>
      <c r="G6" s="2">
        <v>1</v>
      </c>
      <c r="H6" s="2">
        <v>1</v>
      </c>
      <c r="I6" s="4">
        <v>0</v>
      </c>
      <c r="J6" s="2">
        <v>0.85699999999999998</v>
      </c>
      <c r="K6" s="2" t="b">
        <v>0</v>
      </c>
      <c r="L6" s="2">
        <v>3</v>
      </c>
      <c r="M6" s="2">
        <v>0</v>
      </c>
      <c r="N6" s="2">
        <v>1</v>
      </c>
    </row>
    <row r="7" spans="1:15" ht="252" x14ac:dyDescent="0.25">
      <c r="A7" s="2" t="s">
        <v>26</v>
      </c>
      <c r="B7" s="2" t="s">
        <v>16</v>
      </c>
      <c r="C7" s="2" t="s">
        <v>27</v>
      </c>
      <c r="D7" s="2" t="s">
        <v>125</v>
      </c>
      <c r="E7" s="2">
        <v>1</v>
      </c>
      <c r="F7" s="2">
        <v>1</v>
      </c>
      <c r="G7" s="2">
        <v>1</v>
      </c>
      <c r="H7" s="2">
        <v>1</v>
      </c>
      <c r="I7" s="4">
        <v>1</v>
      </c>
      <c r="J7" s="2">
        <v>0.66700000000000004</v>
      </c>
      <c r="K7" s="2" t="b">
        <v>0</v>
      </c>
      <c r="L7" s="2">
        <v>1</v>
      </c>
      <c r="M7" s="2">
        <v>0</v>
      </c>
      <c r="N7" s="2">
        <v>1</v>
      </c>
    </row>
    <row r="8" spans="1:15" ht="154" x14ac:dyDescent="0.25">
      <c r="A8" s="2" t="s">
        <v>28</v>
      </c>
      <c r="B8" s="2" t="s">
        <v>16</v>
      </c>
      <c r="C8" s="2" t="s">
        <v>29</v>
      </c>
      <c r="D8" s="2" t="s">
        <v>126</v>
      </c>
      <c r="E8" s="2">
        <v>1</v>
      </c>
      <c r="F8" s="2">
        <v>1</v>
      </c>
      <c r="G8" s="2">
        <v>1</v>
      </c>
      <c r="H8" s="2">
        <v>1</v>
      </c>
      <c r="I8" s="4">
        <v>1</v>
      </c>
      <c r="J8" s="2">
        <v>1</v>
      </c>
      <c r="K8" s="2" t="b">
        <v>0</v>
      </c>
      <c r="L8" s="2">
        <v>1</v>
      </c>
      <c r="M8" s="2">
        <v>0</v>
      </c>
      <c r="N8" s="2">
        <v>0</v>
      </c>
    </row>
    <row r="9" spans="1:15" ht="182" x14ac:dyDescent="0.25">
      <c r="A9" s="2" t="s">
        <v>30</v>
      </c>
      <c r="B9" s="2" t="s">
        <v>16</v>
      </c>
      <c r="C9" s="2" t="s">
        <v>31</v>
      </c>
      <c r="D9" s="2" t="s">
        <v>129</v>
      </c>
      <c r="E9" s="2">
        <v>1</v>
      </c>
      <c r="F9" s="2">
        <v>1</v>
      </c>
      <c r="G9" s="2">
        <v>1</v>
      </c>
      <c r="H9" s="2">
        <v>1</v>
      </c>
      <c r="I9" s="4">
        <v>1</v>
      </c>
      <c r="J9" s="2">
        <v>1</v>
      </c>
      <c r="K9" s="2" t="b">
        <v>0</v>
      </c>
      <c r="L9" s="2">
        <v>4</v>
      </c>
      <c r="M9" s="2">
        <v>0</v>
      </c>
      <c r="N9" s="2">
        <v>0</v>
      </c>
    </row>
    <row r="10" spans="1:15" ht="224" x14ac:dyDescent="0.25">
      <c r="A10" s="2" t="s">
        <v>32</v>
      </c>
      <c r="B10" s="2" t="s">
        <v>16</v>
      </c>
      <c r="C10" s="2" t="s">
        <v>33</v>
      </c>
      <c r="D10" s="2" t="s">
        <v>130</v>
      </c>
      <c r="E10" s="2">
        <v>1</v>
      </c>
      <c r="F10" s="2">
        <v>1</v>
      </c>
      <c r="G10" s="2">
        <v>1</v>
      </c>
      <c r="H10" s="2">
        <v>1</v>
      </c>
      <c r="I10" s="4">
        <v>1</v>
      </c>
      <c r="J10" s="2">
        <v>1</v>
      </c>
      <c r="K10" s="2" t="b">
        <v>0</v>
      </c>
      <c r="L10" s="2">
        <v>3</v>
      </c>
      <c r="M10" s="2">
        <v>0</v>
      </c>
      <c r="N10" s="2">
        <v>0</v>
      </c>
    </row>
    <row r="11" spans="1:15" ht="266" x14ac:dyDescent="0.25">
      <c r="A11" s="2" t="s">
        <v>34</v>
      </c>
      <c r="B11" s="2" t="s">
        <v>16</v>
      </c>
      <c r="C11" s="2" t="s">
        <v>35</v>
      </c>
      <c r="D11" s="2" t="s">
        <v>132</v>
      </c>
      <c r="E11" s="2">
        <v>1</v>
      </c>
      <c r="F11" s="2">
        <v>1</v>
      </c>
      <c r="G11" s="2">
        <v>1</v>
      </c>
      <c r="H11" s="2">
        <v>1</v>
      </c>
      <c r="I11" s="4">
        <v>1</v>
      </c>
      <c r="J11" s="2">
        <v>0.85699999999999998</v>
      </c>
      <c r="K11" s="2" t="b">
        <v>0</v>
      </c>
      <c r="L11" s="2">
        <v>3</v>
      </c>
      <c r="M11" s="2">
        <v>0</v>
      </c>
      <c r="N11" s="2">
        <v>1</v>
      </c>
    </row>
    <row r="12" spans="1:15" ht="140" x14ac:dyDescent="0.25">
      <c r="A12" s="2" t="s">
        <v>36</v>
      </c>
      <c r="B12" s="2" t="s">
        <v>16</v>
      </c>
      <c r="C12" s="2" t="s">
        <v>37</v>
      </c>
      <c r="D12" s="2" t="s">
        <v>133</v>
      </c>
      <c r="E12" s="2">
        <v>1</v>
      </c>
      <c r="F12" s="2">
        <v>1</v>
      </c>
      <c r="G12" s="2">
        <v>1</v>
      </c>
      <c r="H12" s="2">
        <v>1</v>
      </c>
      <c r="I12" s="4">
        <v>1</v>
      </c>
      <c r="J12" s="2">
        <v>1</v>
      </c>
      <c r="K12" s="2" t="b">
        <v>0</v>
      </c>
      <c r="L12" s="2">
        <v>2</v>
      </c>
      <c r="M12" s="2">
        <v>0</v>
      </c>
      <c r="N12" s="2">
        <v>0</v>
      </c>
    </row>
    <row r="13" spans="1:15" ht="409.5" x14ac:dyDescent="0.25">
      <c r="A13" s="2" t="s">
        <v>38</v>
      </c>
      <c r="B13" s="2" t="s">
        <v>16</v>
      </c>
      <c r="C13" s="2" t="s">
        <v>39</v>
      </c>
      <c r="D13" s="2" t="s">
        <v>135</v>
      </c>
      <c r="E13" s="2">
        <v>1</v>
      </c>
      <c r="F13" s="2">
        <v>1</v>
      </c>
      <c r="G13" s="2">
        <v>1</v>
      </c>
      <c r="H13" s="2">
        <v>1</v>
      </c>
      <c r="I13" s="4">
        <v>1</v>
      </c>
      <c r="J13" s="2">
        <v>1</v>
      </c>
      <c r="K13" s="2" t="b">
        <v>0</v>
      </c>
      <c r="L13" s="2">
        <v>3</v>
      </c>
      <c r="M13" s="2">
        <v>0</v>
      </c>
      <c r="N13" s="2">
        <v>0</v>
      </c>
    </row>
    <row r="14" spans="1:15" ht="252" x14ac:dyDescent="0.25">
      <c r="A14" s="2" t="s">
        <v>40</v>
      </c>
      <c r="B14" s="2" t="s">
        <v>41</v>
      </c>
      <c r="C14" s="2" t="s">
        <v>42</v>
      </c>
      <c r="D14" s="2" t="s">
        <v>137</v>
      </c>
      <c r="E14" s="2">
        <v>1</v>
      </c>
      <c r="F14" s="2">
        <v>1</v>
      </c>
      <c r="G14" s="2">
        <v>1</v>
      </c>
      <c r="H14" s="2">
        <v>1</v>
      </c>
      <c r="I14" s="4">
        <v>0</v>
      </c>
      <c r="J14" s="2">
        <v>1</v>
      </c>
      <c r="K14" s="2" t="b">
        <v>0</v>
      </c>
      <c r="L14" s="2">
        <v>1</v>
      </c>
      <c r="M14" s="2">
        <v>0</v>
      </c>
      <c r="N14" s="2">
        <v>0</v>
      </c>
    </row>
    <row r="15" spans="1:15" ht="294" x14ac:dyDescent="0.25">
      <c r="A15" s="2" t="s">
        <v>43</v>
      </c>
      <c r="B15" s="2" t="s">
        <v>41</v>
      </c>
      <c r="C15" s="2" t="s">
        <v>44</v>
      </c>
      <c r="D15" s="2" t="s">
        <v>131</v>
      </c>
      <c r="E15" s="2">
        <v>1</v>
      </c>
      <c r="F15" s="2">
        <v>1</v>
      </c>
      <c r="G15" s="2">
        <v>1</v>
      </c>
      <c r="H15" s="2">
        <v>1</v>
      </c>
      <c r="I15" s="4">
        <v>1</v>
      </c>
      <c r="J15" s="2">
        <v>0</v>
      </c>
      <c r="K15" s="2" t="b">
        <v>0</v>
      </c>
      <c r="L15" s="2">
        <v>0</v>
      </c>
      <c r="M15" s="2">
        <v>3</v>
      </c>
      <c r="N15" s="2">
        <v>3</v>
      </c>
    </row>
    <row r="16" spans="1:15" ht="406" x14ac:dyDescent="0.25">
      <c r="A16" s="2" t="s">
        <v>45</v>
      </c>
      <c r="B16" s="2" t="s">
        <v>41</v>
      </c>
      <c r="C16" s="2" t="s">
        <v>46</v>
      </c>
      <c r="D16" s="2" t="s">
        <v>139</v>
      </c>
      <c r="E16" s="2">
        <v>1</v>
      </c>
      <c r="F16" s="2">
        <v>1</v>
      </c>
      <c r="G16" s="2">
        <v>1</v>
      </c>
      <c r="H16" s="2">
        <v>1</v>
      </c>
      <c r="I16" s="4">
        <v>1</v>
      </c>
      <c r="J16" s="2">
        <v>1</v>
      </c>
      <c r="K16" s="2" t="b">
        <v>0</v>
      </c>
      <c r="L16" s="2">
        <v>3</v>
      </c>
      <c r="M16" s="2">
        <v>0</v>
      </c>
      <c r="N16" s="2">
        <v>0</v>
      </c>
    </row>
    <row r="17" spans="1:14" ht="252" x14ac:dyDescent="0.25">
      <c r="A17" s="2" t="s">
        <v>47</v>
      </c>
      <c r="B17" s="2" t="s">
        <v>41</v>
      </c>
      <c r="C17" s="2" t="s">
        <v>48</v>
      </c>
      <c r="D17" s="2" t="s">
        <v>140</v>
      </c>
      <c r="E17" s="2">
        <v>1</v>
      </c>
      <c r="F17" s="2">
        <v>1</v>
      </c>
      <c r="G17" s="2">
        <v>1</v>
      </c>
      <c r="H17" s="2">
        <v>1</v>
      </c>
      <c r="I17" s="4">
        <v>1</v>
      </c>
      <c r="J17" s="2">
        <v>1</v>
      </c>
      <c r="K17" s="2" t="b">
        <v>0</v>
      </c>
      <c r="L17" s="2">
        <v>2</v>
      </c>
      <c r="M17" s="2">
        <v>0</v>
      </c>
      <c r="N17" s="2">
        <v>0</v>
      </c>
    </row>
    <row r="18" spans="1:14" ht="409.5" x14ac:dyDescent="0.25">
      <c r="A18" s="2" t="s">
        <v>49</v>
      </c>
      <c r="B18" s="2" t="s">
        <v>41</v>
      </c>
      <c r="C18" s="2" t="s">
        <v>50</v>
      </c>
      <c r="D18" s="2" t="s">
        <v>141</v>
      </c>
      <c r="E18" s="2">
        <v>1</v>
      </c>
      <c r="F18" s="2">
        <v>1</v>
      </c>
      <c r="G18" s="2">
        <v>1</v>
      </c>
      <c r="H18" s="2">
        <v>1</v>
      </c>
      <c r="I18" s="4">
        <v>0.5</v>
      </c>
      <c r="J18" s="2">
        <v>1</v>
      </c>
      <c r="K18" s="2" t="b">
        <v>0</v>
      </c>
      <c r="L18" s="2">
        <v>4</v>
      </c>
      <c r="M18" s="2">
        <v>0</v>
      </c>
      <c r="N18" s="2">
        <v>0</v>
      </c>
    </row>
    <row r="19" spans="1:14" ht="336" x14ac:dyDescent="0.25">
      <c r="A19" s="2" t="s">
        <v>51</v>
      </c>
      <c r="B19" s="2" t="s">
        <v>41</v>
      </c>
      <c r="C19" s="2" t="s">
        <v>52</v>
      </c>
      <c r="D19" s="2" t="s">
        <v>142</v>
      </c>
      <c r="E19" s="2">
        <v>0</v>
      </c>
      <c r="F19" s="2">
        <v>1</v>
      </c>
      <c r="G19" s="2">
        <v>1</v>
      </c>
      <c r="H19" s="2">
        <v>0.33333333333333331</v>
      </c>
      <c r="I19" s="4">
        <v>1</v>
      </c>
      <c r="J19" s="2">
        <v>1</v>
      </c>
      <c r="K19" s="2" t="b">
        <v>0</v>
      </c>
      <c r="L19" s="2">
        <v>3</v>
      </c>
      <c r="M19" s="2">
        <v>0</v>
      </c>
      <c r="N19" s="2">
        <v>0</v>
      </c>
    </row>
    <row r="20" spans="1:14" ht="70" x14ac:dyDescent="0.25">
      <c r="A20" s="2" t="s">
        <v>53</v>
      </c>
      <c r="B20" s="2" t="s">
        <v>41</v>
      </c>
      <c r="C20" s="2" t="s">
        <v>54</v>
      </c>
      <c r="D20" s="2" t="s">
        <v>55</v>
      </c>
      <c r="E20" s="2">
        <v>0</v>
      </c>
      <c r="F20" s="2">
        <v>0</v>
      </c>
      <c r="G20" s="2">
        <v>0</v>
      </c>
      <c r="H20" s="2">
        <v>0</v>
      </c>
      <c r="I20" s="4">
        <v>0</v>
      </c>
      <c r="J20" s="2">
        <v>0</v>
      </c>
      <c r="K20" s="2" t="b">
        <v>0</v>
      </c>
      <c r="L20" s="2">
        <v>0</v>
      </c>
      <c r="M20" s="2">
        <v>0</v>
      </c>
      <c r="N20" s="2">
        <v>1</v>
      </c>
    </row>
    <row r="21" spans="1:14" ht="350" x14ac:dyDescent="0.25">
      <c r="A21" s="2" t="s">
        <v>56</v>
      </c>
      <c r="B21" s="2" t="s">
        <v>41</v>
      </c>
      <c r="C21" s="2" t="s">
        <v>57</v>
      </c>
      <c r="D21" s="2" t="s">
        <v>143</v>
      </c>
      <c r="E21" s="2">
        <v>1</v>
      </c>
      <c r="F21" s="2">
        <v>1</v>
      </c>
      <c r="G21" s="2">
        <v>1</v>
      </c>
      <c r="H21" s="2">
        <v>1</v>
      </c>
      <c r="I21" s="4">
        <v>1</v>
      </c>
      <c r="J21" s="2">
        <v>0.66700000000000004</v>
      </c>
      <c r="K21" s="2" t="b">
        <v>0</v>
      </c>
      <c r="L21" s="2">
        <v>1</v>
      </c>
      <c r="M21" s="2">
        <v>0</v>
      </c>
      <c r="N21" s="2">
        <v>1</v>
      </c>
    </row>
    <row r="22" spans="1:14" ht="409.5" x14ac:dyDescent="0.25">
      <c r="A22" s="2" t="s">
        <v>58</v>
      </c>
      <c r="B22" s="2" t="s">
        <v>41</v>
      </c>
      <c r="C22" s="2" t="s">
        <v>59</v>
      </c>
      <c r="D22" s="2" t="s">
        <v>144</v>
      </c>
      <c r="E22" s="2">
        <v>0</v>
      </c>
      <c r="F22" s="2">
        <v>1</v>
      </c>
      <c r="G22" s="2">
        <v>1</v>
      </c>
      <c r="H22" s="2">
        <v>0.5</v>
      </c>
      <c r="I22" s="4">
        <v>1</v>
      </c>
      <c r="J22" s="2">
        <v>1</v>
      </c>
      <c r="K22" s="2" t="b">
        <v>0</v>
      </c>
      <c r="L22" s="2">
        <v>3</v>
      </c>
      <c r="M22" s="2">
        <v>0</v>
      </c>
      <c r="N22" s="2">
        <v>0</v>
      </c>
    </row>
    <row r="23" spans="1:14" ht="392" x14ac:dyDescent="0.25">
      <c r="A23" s="2" t="s">
        <v>60</v>
      </c>
      <c r="B23" s="2" t="s">
        <v>41</v>
      </c>
      <c r="C23" s="2" t="s">
        <v>61</v>
      </c>
      <c r="D23" s="2" t="s">
        <v>145</v>
      </c>
      <c r="E23" s="2">
        <v>1</v>
      </c>
      <c r="F23" s="2">
        <v>1</v>
      </c>
      <c r="G23" s="2">
        <v>1</v>
      </c>
      <c r="H23" s="2">
        <v>1</v>
      </c>
      <c r="I23" s="4">
        <v>1</v>
      </c>
      <c r="J23" s="2">
        <v>1</v>
      </c>
      <c r="K23" s="2" t="b">
        <v>0</v>
      </c>
      <c r="L23" s="2">
        <v>2</v>
      </c>
      <c r="M23" s="2">
        <v>0</v>
      </c>
      <c r="N23" s="2">
        <v>0</v>
      </c>
    </row>
    <row r="24" spans="1:14" ht="196" x14ac:dyDescent="0.25">
      <c r="A24" s="2" t="s">
        <v>62</v>
      </c>
      <c r="B24" s="2" t="s">
        <v>41</v>
      </c>
      <c r="C24" s="2" t="s">
        <v>63</v>
      </c>
      <c r="D24" s="2" t="s">
        <v>147</v>
      </c>
      <c r="E24" s="2">
        <v>1</v>
      </c>
      <c r="F24" s="2">
        <v>1</v>
      </c>
      <c r="G24" s="2">
        <v>1</v>
      </c>
      <c r="H24" s="2">
        <v>1</v>
      </c>
      <c r="I24" s="4">
        <v>1</v>
      </c>
      <c r="J24" s="2">
        <v>0.66700000000000004</v>
      </c>
      <c r="K24" s="2" t="b">
        <v>0</v>
      </c>
      <c r="L24" s="2">
        <v>1</v>
      </c>
      <c r="M24" s="2">
        <v>0</v>
      </c>
      <c r="N24" s="2">
        <v>1</v>
      </c>
    </row>
    <row r="25" spans="1:14" ht="350" x14ac:dyDescent="0.25">
      <c r="A25" s="2" t="s">
        <v>64</v>
      </c>
      <c r="B25" s="2" t="s">
        <v>65</v>
      </c>
      <c r="C25" s="2" t="s">
        <v>66</v>
      </c>
      <c r="D25" s="2" t="s">
        <v>148</v>
      </c>
      <c r="E25" s="2">
        <v>1</v>
      </c>
      <c r="F25" s="2">
        <v>1</v>
      </c>
      <c r="G25" s="2">
        <v>1</v>
      </c>
      <c r="H25" s="2">
        <v>1</v>
      </c>
      <c r="I25" s="4">
        <v>1</v>
      </c>
      <c r="J25" s="2">
        <v>1</v>
      </c>
      <c r="K25" s="2" t="b">
        <v>0</v>
      </c>
      <c r="L25" s="2">
        <v>2</v>
      </c>
      <c r="M25" s="2">
        <v>0</v>
      </c>
      <c r="N25" s="2">
        <v>0</v>
      </c>
    </row>
    <row r="26" spans="1:14" ht="182" x14ac:dyDescent="0.25">
      <c r="A26" s="2" t="s">
        <v>67</v>
      </c>
      <c r="B26" s="2" t="s">
        <v>65</v>
      </c>
      <c r="C26" s="2" t="s">
        <v>68</v>
      </c>
      <c r="D26" s="2" t="s">
        <v>149</v>
      </c>
      <c r="E26" s="2">
        <v>1</v>
      </c>
      <c r="F26" s="2">
        <v>1</v>
      </c>
      <c r="G26" s="2">
        <v>1</v>
      </c>
      <c r="H26" s="2">
        <v>1</v>
      </c>
      <c r="I26" s="4">
        <v>1</v>
      </c>
      <c r="J26" s="2">
        <v>1</v>
      </c>
      <c r="K26" s="2" t="b">
        <v>0</v>
      </c>
      <c r="L26" s="2">
        <v>1</v>
      </c>
      <c r="M26" s="2">
        <v>0</v>
      </c>
      <c r="N26" s="2">
        <v>0</v>
      </c>
    </row>
    <row r="27" spans="1:14" ht="409.5" x14ac:dyDescent="0.25">
      <c r="A27" s="2" t="s">
        <v>69</v>
      </c>
      <c r="B27" s="2" t="s">
        <v>65</v>
      </c>
      <c r="C27" s="2" t="s">
        <v>70</v>
      </c>
      <c r="D27" s="2" t="s">
        <v>151</v>
      </c>
      <c r="E27" s="2">
        <v>1</v>
      </c>
      <c r="F27" s="2">
        <v>1</v>
      </c>
      <c r="G27" s="2">
        <v>1</v>
      </c>
      <c r="H27" s="2">
        <v>1</v>
      </c>
      <c r="I27" s="4">
        <v>1</v>
      </c>
      <c r="J27" s="2">
        <v>0.66700000000000004</v>
      </c>
      <c r="K27" s="2" t="b">
        <v>0</v>
      </c>
      <c r="L27" s="2">
        <v>1</v>
      </c>
      <c r="M27" s="2">
        <v>0</v>
      </c>
      <c r="N27" s="2">
        <v>1</v>
      </c>
    </row>
    <row r="28" spans="1:14" ht="224" x14ac:dyDescent="0.25">
      <c r="A28" s="2" t="s">
        <v>71</v>
      </c>
      <c r="B28" s="2" t="s">
        <v>65</v>
      </c>
      <c r="C28" s="2" t="s">
        <v>72</v>
      </c>
      <c r="D28" s="2" t="s">
        <v>152</v>
      </c>
      <c r="E28" s="2">
        <v>0</v>
      </c>
      <c r="F28" s="2">
        <v>1</v>
      </c>
      <c r="G28" s="2">
        <v>1</v>
      </c>
      <c r="H28" s="2">
        <v>0.5</v>
      </c>
      <c r="I28" s="4">
        <v>1</v>
      </c>
      <c r="J28" s="2">
        <v>1</v>
      </c>
      <c r="K28" s="2" t="b">
        <v>0</v>
      </c>
      <c r="L28" s="2">
        <v>1</v>
      </c>
      <c r="M28" s="2">
        <v>0</v>
      </c>
      <c r="N28" s="2">
        <v>0</v>
      </c>
    </row>
    <row r="29" spans="1:14" ht="126" x14ac:dyDescent="0.25">
      <c r="A29" s="2" t="s">
        <v>73</v>
      </c>
      <c r="B29" s="2" t="s">
        <v>65</v>
      </c>
      <c r="C29" s="2" t="s">
        <v>74</v>
      </c>
      <c r="D29" s="2" t="s">
        <v>134</v>
      </c>
      <c r="E29" s="2">
        <v>0</v>
      </c>
      <c r="F29" s="2">
        <v>1</v>
      </c>
      <c r="G29" s="2">
        <v>1</v>
      </c>
      <c r="H29" s="2">
        <v>0.5</v>
      </c>
      <c r="I29" s="4">
        <v>1</v>
      </c>
      <c r="J29" s="2">
        <v>1</v>
      </c>
      <c r="K29" s="2" t="b">
        <v>0</v>
      </c>
      <c r="L29" s="2">
        <v>1</v>
      </c>
      <c r="M29" s="2">
        <v>0</v>
      </c>
      <c r="N29" s="2">
        <v>0</v>
      </c>
    </row>
    <row r="30" spans="1:14" ht="168" x14ac:dyDescent="0.25">
      <c r="A30" s="2" t="s">
        <v>75</v>
      </c>
      <c r="B30" s="2" t="s">
        <v>65</v>
      </c>
      <c r="C30" s="2" t="s">
        <v>76</v>
      </c>
      <c r="D30" s="2" t="s">
        <v>153</v>
      </c>
      <c r="E30" s="2">
        <v>1</v>
      </c>
      <c r="F30" s="2">
        <v>1</v>
      </c>
      <c r="G30" s="2">
        <v>1</v>
      </c>
      <c r="H30" s="2">
        <v>1</v>
      </c>
      <c r="I30" s="4">
        <v>1</v>
      </c>
      <c r="J30" s="2">
        <v>1</v>
      </c>
      <c r="K30" s="2" t="b">
        <v>0</v>
      </c>
      <c r="L30" s="2">
        <v>3</v>
      </c>
      <c r="M30" s="2">
        <v>0</v>
      </c>
      <c r="N30" s="2">
        <v>0</v>
      </c>
    </row>
    <row r="31" spans="1:14" ht="266" x14ac:dyDescent="0.25">
      <c r="A31" s="2" t="s">
        <v>77</v>
      </c>
      <c r="B31" s="2" t="s">
        <v>65</v>
      </c>
      <c r="C31" s="2" t="s">
        <v>78</v>
      </c>
      <c r="D31" s="2" t="s">
        <v>127</v>
      </c>
      <c r="E31" s="2">
        <v>0</v>
      </c>
      <c r="F31" s="2">
        <v>0</v>
      </c>
      <c r="G31" s="2">
        <v>0</v>
      </c>
      <c r="H31" s="2">
        <v>0</v>
      </c>
      <c r="I31" s="4">
        <v>0</v>
      </c>
      <c r="J31" s="2">
        <v>1</v>
      </c>
      <c r="K31" s="2" t="b">
        <v>0</v>
      </c>
      <c r="L31" s="2">
        <v>3</v>
      </c>
      <c r="M31" s="2">
        <v>0</v>
      </c>
      <c r="N31" s="2">
        <v>0</v>
      </c>
    </row>
    <row r="32" spans="1:14" ht="196" x14ac:dyDescent="0.25">
      <c r="A32" s="2" t="s">
        <v>79</v>
      </c>
      <c r="B32" s="2" t="s">
        <v>65</v>
      </c>
      <c r="C32" s="2" t="s">
        <v>80</v>
      </c>
      <c r="D32" s="2" t="s">
        <v>128</v>
      </c>
      <c r="E32" s="2">
        <v>1</v>
      </c>
      <c r="F32" s="2">
        <v>1</v>
      </c>
      <c r="G32" s="2">
        <v>1</v>
      </c>
      <c r="H32" s="2">
        <v>1</v>
      </c>
      <c r="I32" s="4">
        <v>1</v>
      </c>
      <c r="J32" s="2">
        <v>0</v>
      </c>
      <c r="K32" s="2" t="b">
        <v>0</v>
      </c>
      <c r="L32" s="2">
        <v>0</v>
      </c>
      <c r="M32" s="2">
        <v>0</v>
      </c>
      <c r="N32" s="2">
        <v>1</v>
      </c>
    </row>
    <row r="33" spans="1:15" ht="406" x14ac:dyDescent="0.25">
      <c r="A33" s="2" t="s">
        <v>81</v>
      </c>
      <c r="B33" s="2" t="s">
        <v>65</v>
      </c>
      <c r="C33" s="2" t="s">
        <v>82</v>
      </c>
      <c r="D33" s="2" t="s">
        <v>155</v>
      </c>
      <c r="E33" s="2">
        <v>1</v>
      </c>
      <c r="F33" s="2">
        <v>1</v>
      </c>
      <c r="G33" s="2">
        <v>1</v>
      </c>
      <c r="H33" s="2">
        <v>1</v>
      </c>
      <c r="I33" s="4">
        <v>1</v>
      </c>
      <c r="J33" s="2">
        <v>1</v>
      </c>
      <c r="K33" s="2" t="b">
        <v>0</v>
      </c>
      <c r="L33" s="2">
        <v>3</v>
      </c>
      <c r="M33" s="2">
        <v>0</v>
      </c>
      <c r="N33" s="2">
        <v>0</v>
      </c>
    </row>
    <row r="34" spans="1:15" ht="322" x14ac:dyDescent="0.25">
      <c r="A34" s="2" t="s">
        <v>83</v>
      </c>
      <c r="B34" s="2" t="s">
        <v>65</v>
      </c>
      <c r="C34" s="2" t="s">
        <v>84</v>
      </c>
      <c r="D34" s="2" t="s">
        <v>156</v>
      </c>
      <c r="E34" s="2">
        <v>1</v>
      </c>
      <c r="F34" s="2">
        <v>1</v>
      </c>
      <c r="G34" s="2">
        <v>1</v>
      </c>
      <c r="H34" s="2">
        <v>1</v>
      </c>
      <c r="I34" s="4">
        <v>1</v>
      </c>
      <c r="J34" s="2">
        <v>1</v>
      </c>
      <c r="K34" s="2" t="b">
        <v>0</v>
      </c>
      <c r="L34" s="2">
        <v>3</v>
      </c>
      <c r="M34" s="2">
        <v>0</v>
      </c>
      <c r="N34" s="2">
        <v>0</v>
      </c>
    </row>
    <row r="35" spans="1:15" ht="364" x14ac:dyDescent="0.25">
      <c r="A35" s="2" t="s">
        <v>85</v>
      </c>
      <c r="B35" s="2" t="s">
        <v>65</v>
      </c>
      <c r="C35" s="2" t="s">
        <v>86</v>
      </c>
      <c r="D35" s="2" t="s">
        <v>157</v>
      </c>
      <c r="E35" s="2">
        <v>0</v>
      </c>
      <c r="F35" s="2">
        <v>0</v>
      </c>
      <c r="G35" s="2">
        <v>1</v>
      </c>
      <c r="H35" s="2">
        <v>0.2</v>
      </c>
      <c r="I35" s="4">
        <v>0</v>
      </c>
      <c r="J35" s="2">
        <v>0.66700000000000004</v>
      </c>
      <c r="K35" s="2" t="b">
        <v>0</v>
      </c>
      <c r="L35" s="2">
        <v>1</v>
      </c>
      <c r="M35" s="2">
        <v>0</v>
      </c>
      <c r="N35" s="2">
        <v>1</v>
      </c>
    </row>
    <row r="36" spans="1:15" ht="409.5" x14ac:dyDescent="0.25">
      <c r="A36" s="2" t="s">
        <v>87</v>
      </c>
      <c r="B36" s="2" t="s">
        <v>88</v>
      </c>
      <c r="C36" s="2" t="s">
        <v>89</v>
      </c>
      <c r="D36" s="2" t="s">
        <v>150</v>
      </c>
      <c r="E36" s="2">
        <v>1</v>
      </c>
      <c r="F36" s="2">
        <v>1</v>
      </c>
      <c r="G36" s="2">
        <v>1</v>
      </c>
      <c r="H36" s="2">
        <v>1</v>
      </c>
      <c r="I36" s="4">
        <v>1</v>
      </c>
      <c r="J36" s="2">
        <v>1</v>
      </c>
      <c r="K36" s="2" t="b">
        <v>0</v>
      </c>
      <c r="L36" s="2">
        <v>2</v>
      </c>
      <c r="M36" s="2">
        <v>0</v>
      </c>
      <c r="N36" s="2">
        <v>0</v>
      </c>
    </row>
    <row r="37" spans="1:15" ht="409.5" x14ac:dyDescent="0.25">
      <c r="A37" s="2" t="s">
        <v>90</v>
      </c>
      <c r="B37" s="2" t="s">
        <v>88</v>
      </c>
      <c r="C37" s="2" t="s">
        <v>91</v>
      </c>
      <c r="D37" s="2" t="s">
        <v>158</v>
      </c>
      <c r="E37" s="2">
        <v>1</v>
      </c>
      <c r="F37" s="2">
        <v>1</v>
      </c>
      <c r="G37" s="2">
        <v>1</v>
      </c>
      <c r="H37" s="2">
        <v>1</v>
      </c>
      <c r="I37" s="4">
        <v>1</v>
      </c>
      <c r="J37" s="2">
        <v>1</v>
      </c>
      <c r="K37" s="2" t="b">
        <v>0</v>
      </c>
      <c r="L37" s="2">
        <v>2</v>
      </c>
      <c r="M37" s="2">
        <v>0</v>
      </c>
      <c r="N37" s="2">
        <v>0</v>
      </c>
    </row>
    <row r="38" spans="1:15" ht="409.5" x14ac:dyDescent="0.25">
      <c r="A38" s="2" t="s">
        <v>92</v>
      </c>
      <c r="B38" s="2" t="s">
        <v>88</v>
      </c>
      <c r="C38" s="2" t="s">
        <v>93</v>
      </c>
      <c r="D38" s="2" t="s">
        <v>159</v>
      </c>
      <c r="E38" s="2">
        <v>0</v>
      </c>
      <c r="F38" s="2">
        <v>1</v>
      </c>
      <c r="G38" s="2">
        <v>1</v>
      </c>
      <c r="H38" s="2">
        <v>0.5</v>
      </c>
      <c r="I38" s="4">
        <v>0.33329999999999999</v>
      </c>
      <c r="J38" s="2">
        <v>0.66700000000000004</v>
      </c>
      <c r="K38" s="2" t="b">
        <v>0</v>
      </c>
      <c r="L38" s="2">
        <v>2</v>
      </c>
      <c r="M38" s="2">
        <v>1</v>
      </c>
      <c r="N38" s="2">
        <v>1</v>
      </c>
    </row>
    <row r="39" spans="1:15" ht="409.5" x14ac:dyDescent="0.25">
      <c r="A39" s="2" t="s">
        <v>94</v>
      </c>
      <c r="B39" s="2" t="s">
        <v>88</v>
      </c>
      <c r="C39" s="2" t="s">
        <v>95</v>
      </c>
      <c r="D39" s="2" t="s">
        <v>136</v>
      </c>
      <c r="E39" s="2">
        <v>0</v>
      </c>
      <c r="F39" s="2">
        <v>0</v>
      </c>
      <c r="G39" s="2">
        <v>1</v>
      </c>
      <c r="H39" s="2">
        <v>0.2</v>
      </c>
      <c r="I39" s="4">
        <v>0.25</v>
      </c>
      <c r="J39" s="2">
        <v>0.8</v>
      </c>
      <c r="K39" s="2" t="b">
        <v>0</v>
      </c>
      <c r="L39" s="2">
        <v>2</v>
      </c>
      <c r="M39" s="2">
        <v>0</v>
      </c>
      <c r="N39" s="2">
        <v>1</v>
      </c>
    </row>
    <row r="40" spans="1:15" ht="409.5" x14ac:dyDescent="0.25">
      <c r="A40" s="2" t="s">
        <v>96</v>
      </c>
      <c r="B40" s="2" t="s">
        <v>88</v>
      </c>
      <c r="C40" s="2" t="s">
        <v>97</v>
      </c>
      <c r="D40" s="2" t="s">
        <v>154</v>
      </c>
      <c r="E40" s="2">
        <v>1</v>
      </c>
      <c r="F40" s="2">
        <v>1</v>
      </c>
      <c r="G40" s="2">
        <v>1</v>
      </c>
      <c r="H40" s="2">
        <v>1</v>
      </c>
      <c r="I40" s="4">
        <v>1</v>
      </c>
      <c r="J40" s="2">
        <v>0.66700000000000004</v>
      </c>
      <c r="K40" s="2" t="b">
        <v>0</v>
      </c>
      <c r="L40" s="2">
        <v>2</v>
      </c>
      <c r="M40" s="2">
        <v>0</v>
      </c>
      <c r="N40" s="2">
        <v>2</v>
      </c>
    </row>
    <row r="41" spans="1:15" ht="409.5" x14ac:dyDescent="0.25">
      <c r="A41" s="2" t="s">
        <v>98</v>
      </c>
      <c r="B41" s="2" t="s">
        <v>88</v>
      </c>
      <c r="C41" s="2" t="s">
        <v>99</v>
      </c>
      <c r="D41" s="2" t="s">
        <v>160</v>
      </c>
      <c r="E41" s="2">
        <v>1</v>
      </c>
      <c r="F41" s="2">
        <v>1</v>
      </c>
      <c r="G41" s="2">
        <v>1</v>
      </c>
      <c r="H41" s="2">
        <v>1</v>
      </c>
      <c r="I41" s="4">
        <v>1</v>
      </c>
      <c r="J41" s="2">
        <v>0.8</v>
      </c>
      <c r="K41" s="2" t="b">
        <v>0</v>
      </c>
      <c r="L41" s="2">
        <v>2</v>
      </c>
      <c r="M41" s="2">
        <v>0</v>
      </c>
      <c r="N41" s="2">
        <v>1</v>
      </c>
    </row>
    <row r="42" spans="1:15" ht="409.5" x14ac:dyDescent="0.25">
      <c r="A42" s="2" t="s">
        <v>100</v>
      </c>
      <c r="B42" s="2" t="s">
        <v>88</v>
      </c>
      <c r="C42" s="2" t="s">
        <v>101</v>
      </c>
      <c r="D42" s="2" t="s">
        <v>161</v>
      </c>
      <c r="E42" s="2">
        <v>0</v>
      </c>
      <c r="F42" s="2">
        <v>0</v>
      </c>
      <c r="G42" s="2">
        <v>1</v>
      </c>
      <c r="H42" s="2">
        <v>0.25</v>
      </c>
      <c r="I42" s="4">
        <v>0.2</v>
      </c>
      <c r="J42" s="2">
        <v>0.66700000000000004</v>
      </c>
      <c r="K42" s="2" t="b">
        <v>0</v>
      </c>
      <c r="L42" s="2">
        <v>2</v>
      </c>
      <c r="M42" s="2">
        <v>0</v>
      </c>
      <c r="N42" s="2">
        <v>2</v>
      </c>
    </row>
    <row r="43" spans="1:15" ht="409.5" x14ac:dyDescent="0.25">
      <c r="A43" s="2" t="s">
        <v>102</v>
      </c>
      <c r="B43" s="2" t="s">
        <v>88</v>
      </c>
      <c r="C43" s="2" t="s">
        <v>103</v>
      </c>
      <c r="D43" s="2" t="s">
        <v>146</v>
      </c>
      <c r="E43" s="2">
        <v>1</v>
      </c>
      <c r="F43" s="2">
        <v>1</v>
      </c>
      <c r="G43" s="2">
        <v>1</v>
      </c>
      <c r="H43" s="2">
        <v>1</v>
      </c>
      <c r="I43" s="4">
        <v>1</v>
      </c>
      <c r="J43" s="2">
        <v>1</v>
      </c>
      <c r="K43" s="2" t="b">
        <v>0</v>
      </c>
      <c r="L43" s="2">
        <v>2</v>
      </c>
      <c r="M43" s="2">
        <v>0</v>
      </c>
      <c r="N43" s="2">
        <v>0</v>
      </c>
    </row>
    <row r="44" spans="1:15" ht="56" x14ac:dyDescent="0.25">
      <c r="A44" s="2" t="s">
        <v>104</v>
      </c>
      <c r="B44" s="2" t="s">
        <v>105</v>
      </c>
      <c r="C44" s="2" t="s">
        <v>106</v>
      </c>
      <c r="D44" s="2" t="s">
        <v>55</v>
      </c>
      <c r="J44" s="2">
        <v>1</v>
      </c>
      <c r="K44" s="2" t="b">
        <v>1</v>
      </c>
      <c r="L44" s="2">
        <v>1</v>
      </c>
      <c r="M44" s="2">
        <v>0</v>
      </c>
      <c r="N44" s="2">
        <v>0</v>
      </c>
      <c r="O44" s="2" t="b">
        <v>1</v>
      </c>
    </row>
    <row r="45" spans="1:15" ht="210" x14ac:dyDescent="0.25">
      <c r="A45" s="2" t="s">
        <v>107</v>
      </c>
      <c r="B45" s="2" t="s">
        <v>105</v>
      </c>
      <c r="C45" s="2" t="s">
        <v>106</v>
      </c>
      <c r="D45" s="2" t="s">
        <v>138</v>
      </c>
      <c r="J45" s="2">
        <v>0</v>
      </c>
      <c r="K45" s="2" t="b">
        <v>1</v>
      </c>
      <c r="L45" s="2">
        <v>0</v>
      </c>
      <c r="M45" s="2">
        <v>1</v>
      </c>
      <c r="N45" s="2">
        <v>0</v>
      </c>
      <c r="O45" s="2" t="b">
        <v>0</v>
      </c>
    </row>
    <row r="46" spans="1:15" ht="42" x14ac:dyDescent="0.25">
      <c r="A46" s="2" t="s">
        <v>108</v>
      </c>
      <c r="B46" s="2" t="s">
        <v>105</v>
      </c>
      <c r="C46" s="2" t="s">
        <v>106</v>
      </c>
      <c r="D46" s="2" t="s">
        <v>55</v>
      </c>
      <c r="J46" s="2">
        <v>1</v>
      </c>
      <c r="K46" s="2" t="b">
        <v>1</v>
      </c>
      <c r="L46" s="2">
        <v>1</v>
      </c>
      <c r="M46" s="2">
        <v>0</v>
      </c>
      <c r="N46" s="2">
        <v>0</v>
      </c>
      <c r="O46" s="2" t="b">
        <v>1</v>
      </c>
    </row>
    <row r="47" spans="1:15" ht="84" x14ac:dyDescent="0.25">
      <c r="A47" s="2" t="s">
        <v>109</v>
      </c>
      <c r="B47" s="2" t="s">
        <v>105</v>
      </c>
      <c r="C47" s="2" t="s">
        <v>106</v>
      </c>
      <c r="D47" s="2" t="s">
        <v>55</v>
      </c>
      <c r="J47" s="2">
        <v>1</v>
      </c>
      <c r="K47" s="2" t="b">
        <v>1</v>
      </c>
      <c r="L47" s="2">
        <v>1</v>
      </c>
      <c r="M47" s="2">
        <v>0</v>
      </c>
      <c r="N47" s="2">
        <v>0</v>
      </c>
      <c r="O47" s="2" t="b">
        <v>1</v>
      </c>
    </row>
    <row r="48" spans="1:15" ht="42" x14ac:dyDescent="0.25">
      <c r="A48" s="2" t="s">
        <v>110</v>
      </c>
      <c r="B48" s="2" t="s">
        <v>105</v>
      </c>
      <c r="C48" s="2" t="s">
        <v>106</v>
      </c>
      <c r="D48" s="2" t="s">
        <v>55</v>
      </c>
      <c r="J48" s="2">
        <v>1</v>
      </c>
      <c r="K48" s="2" t="b">
        <v>1</v>
      </c>
      <c r="L48" s="2">
        <v>1</v>
      </c>
      <c r="M48" s="2">
        <v>0</v>
      </c>
      <c r="N48" s="2">
        <v>0</v>
      </c>
      <c r="O48" s="2" t="b">
        <v>1</v>
      </c>
    </row>
    <row r="49" spans="1:15" ht="56" x14ac:dyDescent="0.25">
      <c r="A49" s="2" t="s">
        <v>111</v>
      </c>
      <c r="B49" s="2" t="s">
        <v>105</v>
      </c>
      <c r="C49" s="2" t="s">
        <v>106</v>
      </c>
      <c r="D49" s="2" t="s">
        <v>55</v>
      </c>
      <c r="J49" s="2">
        <v>1</v>
      </c>
      <c r="K49" s="2" t="b">
        <v>1</v>
      </c>
      <c r="L49" s="2">
        <v>1</v>
      </c>
      <c r="M49" s="2">
        <v>0</v>
      </c>
      <c r="N49" s="2">
        <v>0</v>
      </c>
      <c r="O49" s="2" t="b">
        <v>1</v>
      </c>
    </row>
    <row r="50" spans="1:15" ht="56" x14ac:dyDescent="0.25">
      <c r="A50" s="2" t="s">
        <v>112</v>
      </c>
      <c r="B50" s="2" t="s">
        <v>105</v>
      </c>
      <c r="C50" s="2" t="s">
        <v>106</v>
      </c>
      <c r="D50" s="2" t="s">
        <v>55</v>
      </c>
      <c r="J50" s="2">
        <v>1</v>
      </c>
      <c r="K50" s="2" t="b">
        <v>1</v>
      </c>
      <c r="L50" s="2">
        <v>1</v>
      </c>
      <c r="M50" s="2">
        <v>0</v>
      </c>
      <c r="N50" s="2">
        <v>0</v>
      </c>
      <c r="O50" s="2" t="b">
        <v>1</v>
      </c>
    </row>
    <row r="51" spans="1:15" ht="56" x14ac:dyDescent="0.25">
      <c r="A51" s="2" t="s">
        <v>113</v>
      </c>
      <c r="B51" s="2" t="s">
        <v>105</v>
      </c>
      <c r="C51" s="2" t="s">
        <v>106</v>
      </c>
      <c r="D51" s="2" t="s">
        <v>55</v>
      </c>
      <c r="J51" s="2">
        <v>1</v>
      </c>
      <c r="K51" s="2" t="b">
        <v>1</v>
      </c>
      <c r="L51" s="2">
        <v>1</v>
      </c>
      <c r="M51" s="2">
        <v>0</v>
      </c>
      <c r="N51" s="2">
        <v>0</v>
      </c>
      <c r="O51" s="2" t="b">
        <v>1</v>
      </c>
    </row>
    <row r="53" spans="1:15" x14ac:dyDescent="0.25">
      <c r="A53" s="2" t="s">
        <v>114</v>
      </c>
      <c r="E53" s="2">
        <f>AVERAGEIFS(E2:E51,K2:K51,FALSE)</f>
        <v>0.73809523809523814</v>
      </c>
      <c r="F53" s="2">
        <f>AVERAGEIFS(F2:F51,K2:K51,FALSE)</f>
        <v>0.8571428571428571</v>
      </c>
      <c r="G53" s="2">
        <f>AVERAGEIFS(G2:G51,K2:K51,FALSE)</f>
        <v>0.9285714285714286</v>
      </c>
      <c r="H53" s="2">
        <f>AVERAGEIFS(H2:H51,K2:K51,FALSE)</f>
        <v>0.80912698412698414</v>
      </c>
      <c r="I53" s="4">
        <f>AVERAGEIFS(I2:I51,K2:K51,FALSE)</f>
        <v>0.79245952380952389</v>
      </c>
      <c r="J53" s="2">
        <f>AVERAGE(J2:J51)</f>
        <v>0.84900000000000009</v>
      </c>
      <c r="L53" s="2">
        <f>AVERAGE(L2:L51)</f>
        <v>1.78</v>
      </c>
      <c r="M53" s="2">
        <f>AVERAGE(M2:M51)</f>
        <v>0.1</v>
      </c>
      <c r="N53" s="2">
        <f>AVERAGE(N2:N51)</f>
        <v>0.4</v>
      </c>
    </row>
    <row r="54" spans="1:15" x14ac:dyDescent="0.25">
      <c r="A54" s="2" t="s">
        <v>115</v>
      </c>
      <c r="B54" s="2" t="s">
        <v>16</v>
      </c>
      <c r="E54" s="2">
        <f>AVERAGEIFS(E2:E51,B2:B51,"定义类",K2:K51,FALSE)</f>
        <v>0.91666666666666663</v>
      </c>
      <c r="F54" s="2">
        <f>AVERAGEIFS(F2:F51,B2:B51,"定义类",K2:K51,FALSE)</f>
        <v>0.91666666666666663</v>
      </c>
      <c r="G54" s="2">
        <f>AVERAGEIFS(G2:G51,B2:B51,"定义类",K2:K51,FALSE)</f>
        <v>0.91666666666666663</v>
      </c>
      <c r="H54" s="2">
        <f>AVERAGEIFS(H2:H51,B2:B51,"定义类",K2:K51,FALSE)</f>
        <v>0.91666666666666663</v>
      </c>
      <c r="I54" s="4">
        <f>AVERAGEIFS(I2:I51,B2:B51,"定义类",K2:K51,FALSE)</f>
        <v>0.83333333333333337</v>
      </c>
      <c r="J54" s="2">
        <f>AVERAGEIF(B2:B51,"定义类",J2:J51)</f>
        <v>0.93174999999999997</v>
      </c>
      <c r="L54" s="2">
        <f>AVERAGEIF(B2:B51,"定义类",L2:L51)</f>
        <v>2.25</v>
      </c>
      <c r="M54" s="2">
        <f>AVERAGEIF(B2:B51,"定义类",M2:M51)</f>
        <v>0</v>
      </c>
      <c r="N54" s="2">
        <f>AVERAGEIF(B2:B51,"定义类",N2:N51)</f>
        <v>0.33333333333333331</v>
      </c>
    </row>
    <row r="55" spans="1:15" ht="28" x14ac:dyDescent="0.25">
      <c r="A55" s="2" t="s">
        <v>116</v>
      </c>
      <c r="B55" s="2" t="s">
        <v>41</v>
      </c>
      <c r="E55" s="2">
        <f>AVERAGEIFS(E2:E51,B2:B51,"方法细节类",K2:K51,FALSE)</f>
        <v>0.72727272727272729</v>
      </c>
      <c r="F55" s="2">
        <f>AVERAGEIFS(F2:F51,B2:B51,"方法细节类",K2:K51,FALSE)</f>
        <v>0.90909090909090906</v>
      </c>
      <c r="G55" s="2">
        <f>AVERAGEIFS(G2:G51,B2:B51,"方法细节类",K2:K51,FALSE)</f>
        <v>0.90909090909090906</v>
      </c>
      <c r="H55" s="2">
        <f>AVERAGEIFS(H2:H51,B2:B51,"方法细节类",K2:K51,FALSE)</f>
        <v>0.80303030303030287</v>
      </c>
      <c r="I55" s="4">
        <f>AVERAGEIFS(I2:I51,B2:B51,"方法细节类",K2:K51,FALSE)</f>
        <v>0.77272727272727271</v>
      </c>
      <c r="J55" s="2">
        <f>AVERAGEIF(B2:B51,"方法细节类",J2:J51)</f>
        <v>0.75763636363636355</v>
      </c>
      <c r="L55" s="2">
        <f>AVERAGEIF(B2:B51,"方法细节类",L2:L51)</f>
        <v>1.8181818181818181</v>
      </c>
      <c r="M55" s="2">
        <f>AVERAGEIF(B2:B51,"方法细节类",M2:M51)</f>
        <v>0.27272727272727271</v>
      </c>
      <c r="N55" s="2">
        <f>AVERAGEIF(B2:B51,"方法细节类",N2:N51)</f>
        <v>0.54545454545454541</v>
      </c>
    </row>
    <row r="56" spans="1:15" ht="28" x14ac:dyDescent="0.25">
      <c r="A56" s="2" t="s">
        <v>117</v>
      </c>
      <c r="B56" s="2" t="s">
        <v>65</v>
      </c>
      <c r="E56" s="2">
        <f>AVERAGEIFS(E2:E51,B2:B51,"实验结果类",K2:K51,FALSE)</f>
        <v>0.63636363636363635</v>
      </c>
      <c r="F56" s="2">
        <f>AVERAGEIFS(F2:F51,B2:B51,"实验结果类",K2:K51,FALSE)</f>
        <v>0.81818181818181823</v>
      </c>
      <c r="G56" s="2">
        <f>AVERAGEIFS(G2:G51,B2:B51,"实验结果类",K2:K51,FALSE)</f>
        <v>0.90909090909090906</v>
      </c>
      <c r="H56" s="2">
        <f>AVERAGEIFS(H2:H51,B2:B51,"实验结果类",K2:K51,FALSE)</f>
        <v>0.74545454545454537</v>
      </c>
      <c r="I56" s="4">
        <f>AVERAGEIFS(I2:I51,B2:B51,"实验结果类",K2:K51,FALSE)</f>
        <v>0.81818181818181823</v>
      </c>
      <c r="J56" s="2">
        <f>AVERAGEIF(B2:B51,"实验结果类",J2:J51)</f>
        <v>0.84854545454545449</v>
      </c>
      <c r="L56" s="2">
        <f>AVERAGEIF(B2:B51,"实验结果类",L2:L51)</f>
        <v>1.7272727272727273</v>
      </c>
      <c r="M56" s="2">
        <f>AVERAGEIF(B2:B51,"实验结果类",M2:M51)</f>
        <v>0</v>
      </c>
      <c r="N56" s="2">
        <f>AVERAGEIF(B2:B51,"实验结果类",N2:N51)</f>
        <v>0.27272727272727271</v>
      </c>
    </row>
    <row r="57" spans="1:15" ht="28" x14ac:dyDescent="0.25">
      <c r="A57" s="2" t="s">
        <v>118</v>
      </c>
      <c r="B57" s="2" t="s">
        <v>88</v>
      </c>
      <c r="E57" s="2">
        <f>AVERAGEIFS(E2:E51,B2:B51,"跨论文比较类",K2:K51,FALSE)</f>
        <v>0.625</v>
      </c>
      <c r="F57" s="2">
        <f>AVERAGEIFS(F2:F51,B2:B51,"跨论文比较类",K2:K51,FALSE)</f>
        <v>0.75</v>
      </c>
      <c r="G57" s="2">
        <f>AVERAGEIFS(G2:G51,B2:B51,"跨论文比较类",K2:K51,FALSE)</f>
        <v>1</v>
      </c>
      <c r="H57" s="2">
        <f>AVERAGEIFS(H2:H51,B2:B51,"跨论文比较类",K2:K51,FALSE)</f>
        <v>0.74375000000000002</v>
      </c>
      <c r="I57" s="4">
        <f>AVERAGEIFS(I2:I51,B2:B51,"跨论文比较类",K2:K51,FALSE)</f>
        <v>0.72291249999999996</v>
      </c>
      <c r="J57" s="2">
        <f>AVERAGEIF(B2:B51,"跨论文比较类",J2:J51)</f>
        <v>0.82512499999999989</v>
      </c>
      <c r="L57" s="2">
        <f>AVERAGEIF(B2:B51,"跨论文比较类",L2:L51)</f>
        <v>2</v>
      </c>
      <c r="M57" s="2">
        <f>AVERAGEIF(B2:B51,"跨论文比较类",M2:M51)</f>
        <v>0.125</v>
      </c>
      <c r="N57" s="2">
        <f>AVERAGEIF(B2:B51,"跨论文比较类",N2:N51)</f>
        <v>0.875</v>
      </c>
    </row>
    <row r="58" spans="1:15" ht="28" x14ac:dyDescent="0.25">
      <c r="A58" s="2" t="s">
        <v>119</v>
      </c>
      <c r="B58" s="2" t="s">
        <v>105</v>
      </c>
      <c r="E58" s="2" t="e">
        <f>AVERAGEIFS(E2:E51,B2:B51,"不可回答类",K2:K51,FALSE)</f>
        <v>#DIV/0!</v>
      </c>
      <c r="F58" s="2" t="e">
        <f>AVERAGEIFS(F2:F51,B2:B51,"不可回答类",K2:K51,FALSE)</f>
        <v>#DIV/0!</v>
      </c>
      <c r="G58" s="2" t="e">
        <f>AVERAGEIFS(G2:G51,B2:B51,"不可回答类",K2:K51,FALSE)</f>
        <v>#DIV/0!</v>
      </c>
      <c r="H58" s="2" t="e">
        <f>AVERAGEIFS(H2:H51,B2:B51,"不可回答类",K2:K51,FALSE)</f>
        <v>#DIV/0!</v>
      </c>
      <c r="I58" s="4" t="e">
        <f>AVERAGEIFS(I2:I51,B2:B51,"不可回答类",K2:K51,FALSE)</f>
        <v>#DIV/0!</v>
      </c>
      <c r="J58" s="2">
        <f>AVERAGEIF(B2:B51,"不可回答类",J2:J51)</f>
        <v>0.875</v>
      </c>
      <c r="L58" s="2">
        <f>AVERAGEIF(B2:B51,"不可回答类",L2:L51)</f>
        <v>0.875</v>
      </c>
      <c r="M58" s="2">
        <f>AVERAGEIF(B2:B51,"不可回答类",M2:M51)</f>
        <v>0.125</v>
      </c>
      <c r="N58" s="2">
        <f>AVERAGEIF(B2:B51,"不可回答类",N2:N51)</f>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家熙 刘</cp:lastModifiedBy>
  <dcterms:created xsi:type="dcterms:W3CDTF">2026-06-03T04:00:34Z</dcterms:created>
  <dcterms:modified xsi:type="dcterms:W3CDTF">2026-06-09T13:06:32Z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5323096d-885f-454b-a852-e41e5af575fd</vt:lpwstr>
  </property>
</Properties>
</file>