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experiment\"/>
    </mc:Choice>
  </mc:AlternateContent>
  <xr:revisionPtr revIDLastSave="0" documentId="13_ncr:1_{C4F4AAAB-3533-4948-93B9-5B910AA58948}"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<sst xmlns="http://schemas.openxmlformats.org/spreadsheetml/2006/main" count="226" uniqueCount="162">
  <si>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</si>
  <si>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</si>
  <si>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</si>
  <si>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</si>
  <si>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</si>
  <si>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</si>
  <si>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</si>
  <si>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</si>
  <si>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</si>
  <si>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</si>
  <si>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</si>
  <si>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</si>
  <si>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</si>
  <si>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</si>
  <si>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</si>
  <si>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</si>
  <si>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</si>
  <si>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</si>
  <si>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在SafeRAG中"silver noise"的定义是什么？</t>
  </si>
  <si>
    <t>首先，我们定义了“银色噪声”，它指的是仅部分包含答案的证据文本。此类噪声能够绕过大多数安全过滤机制，从而削弱 RAG 的多样性。</t>
  </si>
  <si>
    <t>RAG噪声被分为哪两类？</t>
  </si>
  <si>
    <t>RAG噪声被分为有益噪声和有害噪声。</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</si>
  <si>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</si>
  <si>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</si>
  <si>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</si>
  <si>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</si>
  <si>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</si>
  <si>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</si>
  <si>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什么是Agentic Reasoning框架?</t>
  </si>
  <si>
    <t>Agentic Reasoning是一个通过集成外部工具使用代理来增强大型语言模型推理的框架。</t>
  </si>
  <si>
    <t>REAL-MM-RAG 基准测试旨在解决现实世界检索的四个关键属性是什么？</t>
  </si>
  <si>
    <t xml:space="preserve"> REAL-MM-RAG基准测试的四个关键属性是：(i) 多模态文档，(ii) 增强的难度，(iii) 真实的RAG查询，(iv) 准确的标注。</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</si>
  <si>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</si>
  <si>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</si>
  <si>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</si>
  <si>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</si>
  <si>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 xml:space="preserve"> LongBench v2基准测试包含多少个问题？上下文长度范围是多少？</t>
  </si>
  <si>
    <t>LongBench v2包含503个具有挑战性的多项选择题，上下文长度范围从8,000到200万个单词。</t>
  </si>
  <si>
    <t>RHIO框架的三个主要组成部分是什么？</t>
  </si>
  <si>
    <t>RHIO框架包含三个主要组件：1.不忠实数据增强, 2.忠实度感知调优, 3.自诱导解码</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</si>
  <si>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</si>
  <si>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</si>
  <si>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</si>
  <si>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</si>
  <si>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</si>
  <si>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</si>
  <si>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</si>
  <si>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DRAG框架如何保护用户隐私？请描述其隐私保护机制。</t>
  </si>
  <si>
    <t>DRAG通过传输去标识化的查询和结构化知识而不是完整响应来保护用户隐私。这样可以避免传输完整的用户查询和敏感信息。</t>
  </si>
  <si>
    <t>简述 Think&amp; Cite 框架中 SG-MCTS 的工作流程及其步骤。</t>
  </si>
  <si>
    <t>SG-MCTS利用LLMs的自反思能力来推理MCTS的中间状态，以指导树扩展过程。在每次迭代中，SG-MCTS 遵循四个步骤，即选择、反思引导的扩展、评估和反向传播。</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</si>
  <si>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</si>
  <si>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</si>
  <si>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Meta-Bench基准测试中，α参数的最优范围是多少？这个参数的作用是什么？</t>
  </si>
  <si>
    <t>α参数的最优范围在0.65到0.8之间。这个参数用于平衡工具描述和参数描述在工具检索中的权重。</t>
  </si>
  <si>
    <t>CypherBench 通过将 RDF 图转换为多个领域特定的属性图（domain-specific property graphs）来实现这一过程，并使用 Cypher 语言对其进行查询。</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</si>
  <si>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</si>
  <si>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</si>
  <si>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</si>
  <si>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</si>
  <si>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在 HALOGEN 的文本简化任务中，如何验证模型生成的简化文本是否忠实于原文？</t>
  </si>
  <si>
    <t>先用 GPT-3.5-turbo 将简化文本分解为独立的原子事实，再用 Llama-2-70B-chat 判断每个原子事实是否被原文蕴含。</t>
  </si>
  <si>
    <t>在"CiteEval"论文中，GPT-4o和Llama-3-70B在Cited scenario和Full scenario下的表现有何差异？</t>
  </si>
  <si>
    <t>实验结果类</t>
  </si>
  <si>
    <t>在Cited scenario下，GPT-4o表现最佳，Llama-3-70B与GPT-4o-mini相当；在Full scenario下，Llama-3-70B超越GPT-4o，取得最佳性能。</t>
  </si>
  <si>
    <t>"FaithfulRAG"在FaithEval数据集上使用Mistral-7B作为backbone时的准确率是多少？相比最强基线提高了多少？</t>
  </si>
  <si>
    <t>81.7%，比最强基线(KRE的73.2%)提高了8.5%。</t>
  </si>
  <si>
    <t>RankCoT 相对于 vanilla RAG 模型的表现如何？这说明了什么？</t>
  </si>
  <si>
    <t>RankCoT 相比 vanilla RAG 模型有 2.5% 的提升，表明它在提供更有意义的细化方面有效，有助于 LLM 更好地回答问题。</t>
  </si>
  <si>
    <t>在 HALoGEN 基准测试中，表现最好的 LLM 生成事实的幻觉率范围是多少？</t>
  </si>
  <si>
    <t>实验发现，即使是表现最好的 LLM，其生成事实的幻觉率也在 3% 到 86% 之间，具体数值取决于所属领域。</t>
  </si>
  <si>
    <t xml:space="preserve"> 在LongBench v2基准测试中，人类专家在15分钟时间限制下的准确率是多少？</t>
  </si>
  <si>
    <t>人类专家在15分钟时间限制下的准确率为53.7%。</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</si>
  <si>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</si>
  <si>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</si>
  <si>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</si>
  <si>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</si>
  <si>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在GAIA基准测试中，Agentic Reasoning在不同级别任务上的表现如何？</t>
  </si>
  <si>
    <t>在GAIA基准测试中，Agentic Reasoning在Level 1和Level 2任务上超越了OpenAI的Deep Research，在Level 3任务上将差距缩小到2.26%。</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</si>
  <si>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</si>
  <si>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</si>
  <si>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</si>
  <si>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</si>
  <si>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RAGEval 提出的自动评估指标与人工评估的一致性如何？</t>
  </si>
  <si>
    <t>实验结果表明，RAGEval 的机器自动评估与人工评估在所有指标上均表现出高度一致性。两者之间的最终绝对差异仅为 1.67%。</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</si>
  <si>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</si>
  <si>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</si>
  <si>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</si>
  <si>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</si>
  <si>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</si>
  <si>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</si>
  <si>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</si>
  <si>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</si>
  <si>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</si>
  <si>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</si>
  <si>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</si>
  <si>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</si>
  <si>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</si>
  <si>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</si>
  <si>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</si>
  <si>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</si>
  <si>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</si>
  <si>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</si>
  <si>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</si>
  <si>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</si>
  <si>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</si>
  <si>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</si>
  <si>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</si>
  <si>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</si>
  <si>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</si>
  <si>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</si>
  <si>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</si>
  <si>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</si>
  <si>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</si>
  <si>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</si>
  <si>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</si>
  <si>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</si>
  <si>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</si>
  <si>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</si>
  <si>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作者将post-training scaling分为三个主要方法：监督微调（Supervised Fine-tuning, SFT）、强化学习（Reinforcement Learning, RL）和测试时计算（Test-time Compute, TTC）。
来自: [A Survey of Post-Training Scaling in Large Language Models, 第2页, A Survey of Post-Training Scaling in Large Language Models_chunk_008]</t>
  </si>
  <si>
    <t>Silver noise 是指部分包含答案的证据。
来自: [SafeRAG: Benchmarking Security in Retrieval-Augmented Generation of Large Language Model, 第2页, SafeRAG: Benchmarking Security in Retrieval-Augmented Generation of Large Language Model_chunk_007]</t>
  </si>
  <si>
    <t>RAG噪声被分为有益噪声（beneficial noise）和有害噪声（harmful noise）两类。
来自: [Pandora’s Box or Aladdin’s Lamp: A Comprehensive Analysis Revealing the Role of RAG Noise in Large Language Models, 第2页, Pandora’s Box or Aladdin’s Lamp: A Comprehensive Analysis Revealing the Role of RAG Noise in Large Language Models_chunk_006]</t>
  </si>
  <si>
    <t>Ref-Long是一个新颖的基准，专门设计用于评估长上下文语言模型的长上下文引用能力。
来自: [Ref-Long: Benchmarking the Long-context Referencing Capability of Long-context Language Models, 第2页, Ref-Long: Benchmarking the Long-context Referencing Capability of Long-context Language Models_chunk_005]</t>
  </si>
  <si>
    <t>SYNQA是一种通过上下文选择、问答生成和干扰项挖掘来合成具有明确归因路径的问答训练数据的方法。
来自: [On Synthesizing Data for Context Attribution in Question Answering, 第2页, On Synthesizing Data for Context Attribution in Question Answering_chunk_010] [On Synthesizing Data for Context Attribution in Question Answering, 第3页, On Synthesizing Data for Context Attribution in Question Answering_chunk_012]</t>
  </si>
  <si>
    <t>根据已有信息，无法回答关于 RHIO 的问题，因为提供的论文片段中未提及该方法。
关于 SYNQA，其数据生成方式是：给定选定的上下文句子，让大语言模型（LLM）生成完全由这些句子支持的问答对。这是一种生成式方法，利用 LLM 的文本生成优势，确保合成训练数据具有清晰的归因路径。
在提升模型归因能力方面，SYNQA 生成的训练数据包含实体中心和对话中心的样本，能反映真实问答场景的多样性，从而帮助模型发展出可跨领域泛化的鲁棒归因能力。实验表明，用 SYNQA 数据训练的模型在域外数据集上表现优于用域内数据训练的模型，并能有效处理对话归因，且性能随合成数据量增加而持续提升。
来自: [On Synthesizing Data for Context Attribution in Question Answering, 第2页, On Synthesizing Data for Context Attribution in Question Answering_chunk_009]
来自: [On Synthesizing Data for Context Attribution in Question Answering, 第3页, On Synthesizing Data for Context Attribution in Question Answering_chunk_012]
来自: [On Synthesizing Data for Context Attribution in Question Answering, 第2页, On Synthesizing Data for Context Attribution in Question Answering_chunk_007]</t>
  </si>
  <si>
    <t>AgenticLU是一个通过将目标性自我澄清与上下文锚定集成到智能体工作流中来增强大语言模型对长上下文查询理解的框架。
来自: [Self-Taught Agentic Long-Context Understanding, 第1页, Self-Taught Agentic Long-Context Understanding_chunk_001]</t>
  </si>
  <si>
    <t>Agentic Reasoning 是一个通过将外部基于 LLM 的智能体作为工具集成到推理过程中，从而增强大语言模型推理能力的框架。
来自: [Agentic Reasoning: A Streamlined Framework for Enhancing LLM Reasoning with Agentic Tools, 第2页, Agentic Reasoning: A Streamlined Framework for Enhancing LLM Reasoning with Agentic Tools_chunk_008]</t>
  </si>
  <si>
    <t>在Humanity's Last Exam数据集上，Agentic Reasoning与DeepSeek-R1结合后准确率达到23.8%，相比基础模型DeepSeek-R1的9.4%提升了14.4个百分点。与OpenAI Deep Research的差距缩小至仅2.8%（OpenAI Deep Research为26.6%）。
来自: [Agentic Reasoning: A Streamlined Framework for Enhancing LLM Reasoning with Agentic Tools, 第1页, Agentic Reasoning: A Streamlined Framework for Enhancing LLM Reasoning with Agentic Tools_chunk_004]</t>
  </si>
  <si>
    <t>在GAIA基准测试中，Agentic Reasoning在Level 1上达到74.36%，Level 2上达到69.21%，Level 3上达到45.46%，平均为66.13%。它在Level 1和Level 2任务上超越了OpenAI Deep Research，在Level 3上则将差距缩小至2.26%。
来自: [Agentic Reasoning: A Streamlined Framework for Enhancing LLM Reasoning with Agentic Tools, 第5页, Agentic Reasoning: A Streamlined Framework for Enhancing LLM Reasoning with Agentic Tools_chunk_023]  
来自: [Agentic Reasoning: A Streamlined Framework for Enhancing LLM Reasoning with Agentic Tools, 第5页, Agentic Reasoning: A Streamlined Framework for Enhancing LLM Reasoning with Agentic Tools_chunk_022]</t>
  </si>
  <si>
    <t>REAL-MM-RAG 基准测试旨在解决的四个关键属性是：(i) 多模态文档，(ii) 增强难度，(iii) 现实RAG查询，以及 (iv) 准确标注。
来自: [REAL-MM-RAG:AReal-World Multi-Modal Retrieval Benchmark, 第1页, REAL-MM-RAG:AReal-World Multi-Modal Retrieval Benchmark_chunk_003]</t>
  </si>
  <si>
    <t>ASTUTE RAG 是一种旨在更好地整合大语言模型内部知识与外部语料库集体知识的方法，通过迭代方式比较生成与检索到的段落，评估冲突信息的可靠性，并基于最可靠的知识生成最终回答，从而获得更可靠的响应。其用途是克服不完美的检索增强和知识冲突，提升问答的准确性和鲁棒性。
来自: [ASTUTE RAG: Overcoming Imperfect Retrieval Augmentation and Knowledge Conflicts for Large Language Models, 第5页, ASTUTE RAG: Overcoming Imperfect Retrieval Augmentation and Knowledge Conflicts for Large Language Models_chunk_019]  
来自: [ASTUTE RAG: Overcoming Imperfect Retrieval Augmentation and Knowledge Conflicts for Large Language Models, 第7页, ASTUTE RAG: Overcoming Imperfect Retrieval Augmentation and Knowledge Conflicts for Large Language Models_chunk_036]</t>
  </si>
  <si>
    <t>在ASTUTE RAG中，知识整合过程包含三个主要步骤：结合一致信息、识别冲突信息、过滤无关信息。
来自: [ASTUTE RAG: Overcoming Imperfect Retrieval Augmentation and Knowledge Conflicts for Large Language Models, 第2页, ASTUTE RAG: Overcoming Imperfect Retrieval Augmentation and Knowledge Conflicts for Large Language Models_chunk_007] 和 [ASTUTE RAG: Overcoming Imperfect Retrieval Augmentation and Knowledge Conflicts for Large Language Models, 第16页, ASTUTE RAG: Overcoming Imperfect Retrieval Augmentation and Knowledge Conflicts for Large Language Models_chunk_046]</t>
  </si>
  <si>
    <t>L-CiteEval是一个开箱即用的评估套件，包含多任务长上下文基准测试和相应的评估管道。
来自: [L-CiteEval: A Suite for Evaluating Fidelity of Long-context Models, 第8页, L-CiteEval: A Suite for Evaluating Fidelity of Long-context Models_chunk_056]</t>
  </si>
  <si>
    <t>LongBench v2 包含 503 个多项选择题，上下文长度范围从 8k 到 2M 词。
来自: [LongBench v2: Towards Deeper Understanding and Reasoning on Realistic Long-context Multitasks_chunk,第1页, LongBench v2: Towards Deeper Understanding and Reasoning on Realistic Long-context Multitasks_chunk_004]</t>
    <phoneticPr fontId="2" type="noConversion"/>
  </si>
  <si>
    <t>RHIO框架的三个主要组成部分是：不忠实数据增强（unfaithful data augmentation）、忠实性感知调优（faithfulness-aware tuning）和自诱导解码（self-induced decoding）。
来自: [Improving Contextual Faithfulness of Large Language Models via Retrieval Heads-Induced Optimization, 第15页, Improving Contextual Faithfulness of Large Language Models via Retrieval Heads-Induced Optimization_chunk_065]</t>
  </si>
  <si>
    <t>在监督微调阶段，论文作者发现使用标准的短上下文指令数据集（如Ultra-Chat）即可在长上下文任务上取得最佳性能，而添加长合成指令数据不仅没有提升，反而会损害性能。
来自: [How to Train Long-Context Language Models (Effectively), 第2页, How to Train Long-Context Language Models (Effectively)_chunk_006]
来自: [How to Train Long-Context Language Models (Effectively), 第6页, How to Train Long-Context Language Models (Effectively)_chunk_033]</t>
  </si>
  <si>
    <t>LongRefiner 通过将推理过程拆分为离线阶段和在线阶段来降低在线延迟。离线阶段预先对语料库中的文档进行层次化文档结构化，在线阶段仅需执行查询分析和自适应精炼，处理数百个输入 token 并生成数十个输出 token，从而使整体延迟降至标准设置的约 25%。
来自: [Hierarchical Document Refinement for Long-context Retrieval-augmented Generation, 第6页, Hierarchical Document Refinement for Long-context Retrieval-augmented Generation_chunk_030]</t>
  </si>
  <si>
    <t>DRAG框架通过本地小模型在发送查询前对问题进行改写，剥离其中的敏感信息，然后将去隐私的查询上传至云端大模型。云端模型仅返回相关证据和知识图谱，而非直接生成答案，本地模型再利用这些结构化知识生成最终回答。这样，用户的私密数据始终保留在本地，不会泄露给云端。
来自: [DRAG: Distilling RAG for SLMs from LLMs to Transfer Knowledge and Mitigate Hallucination via Evidence and Graph-based Distillation, 第1页, DRAG: Distilling RAG for SLMs from LLMs to Transfer Knowledge and Mitigate Hallucination via Evidence and Graph-based Distillation_chunk_004]
来自: [DRAG: Distilling RAG for SLMs from LLMs to Transfer Knowledge and Mitigate Hallucination via Evidence and Graph-based Distillation, 第5页, DRAG: Distilling RAG for SLMs from LLMs to Transfer Knowledge and Mitigate Hallucination via Evidence and Graph-based Distillation_chunk_025]</t>
  </si>
  <si>
    <t>SG-MCTS 在每次迭代中执行四个步骤：选择、反思引导的扩展、评估和反向传播。其中，反思引导的扩展利用 LLM 的自我反思能力实时批判中间状态，引导树扩展并主动避免不充分的推理路径；评估阶段采用进度奖励建模（PRM），从生成进度和归因进度两方面衡量搜索进度。
来自: [Think&amp;Cite, 第3页, 2025.acl-long.490_Think&amp;Cite_chunk_014]
来自: [Think&amp;Cite, 第3页, 2025.acl-long.490_Think&amp;Cite_chunk_013]
来自: [Think&amp;Cite, 第1页, 2025.acl-long.490_Think&amp;Cite_chunk_003]</t>
    <phoneticPr fontId="2" type="noConversion"/>
  </si>
  <si>
    <t>SETR 的段落选择提示引导的关键过程包含三个步骤：  
1. 列举回答查询所需的关键信息需求；  
2. 为每个需求找到包含相关信息的段落；  
3. 选择一组段落，使其共同提供最全面、多样化的信息覆盖，以有效回答查询。  
来自: [Shifting from Ranking to Set Selection for Retrieval Augmented Generation, 第4页, Shifting from Ranking to Set Selection for Retrieval Augmented Generation_chunk_015]</t>
  </si>
  <si>
    <t>α参数的最优范围是0.65至0.8。该参数用于平衡工具描述与参数描述在工具检索中的权重，以优化检索性能。
来自: [Meta-Tool: Unleash Open-World Function Calling Capabilities of General-Purpose Large Language Models, 第20页, Meta-Tool: Unleash Open-World Function Calling Capabilities of General-Purpose Large Language Models_chunk_071]</t>
  </si>
  <si>
    <t>CypherBench 通过将 RDF 图转换为多个领域特定的属性图（作为物化视图）来生成。每个视图包含符合其领域模式的所有数据，通过执行 SPARQL 查询并聚合结果实现，而非处理整个 RDF 转储。转换层负责数据类型转换和单位标准化，生成模式强制、严格类型的数据，从而消除重叠关系类型的歧义，并支持扩展到大量领域。
来自: [CYPHERBENCH: Towards Precise Retrieval over Full-scale Modern Knowledge Graphs in the LLM Era, 第4页, CYPHERBENCH: Towards Precise Retrieval over Full-scale Modern Knowledge Graphs in the LLM Era_chunk_016]  
来自: [CYPHERBENCH: Towards Precise Retrieval over Full-scale Modern Knowledge Graphs in the LLM Era, 第4页, CYPHERBENCH: Towards Precise Retrieval over Full-scale Modern Knowledge Graphs in the LLM Era_chunk_017]</t>
  </si>
  <si>
    <t>ClinRaGen的三阶段理由蒸馏范式是一个系统整合文本、数值和结构化领域知识的过程：第一阶段蒸馏基于医疗笔记的理由，第二阶段引入知识增强注意力以蒸馏基于实验室测试的理由，第三阶段完全整合文本和数值输入以生成临床连贯的多模态理由。
来自: [Knowledge-Augmented Multimodal Clinical Rationale Generation for Disease Diagnosis with Small Language Models, 第4页, Knowledge-Augmented Multimodal Clinical Rationale Generation for Disease Diagnosis with Small Language Models_chunk_016]</t>
  </si>
  <si>
    <t>QAEncoder从查询中心视角出发，通过为每个文档生成多样化的查询来创建语义对齐的嵌入，并用文档指纹策略确保文档可区分性，从而弥合文档-查询差距。其理论基于圆锥分布假设，用期望查询嵌入替换文档嵌入。
来自: [QAEncoder: Towards Aligned Representation Learning in Question Answering Systems, 第5页, QAEncoder: Towards Aligned Representation Learning in Question Answering Systems_chunk_019] [QAEncoder: Towards Aligned Representation Learning in Question Answering Systems, 第9页, QAEncoder: Towards Aligned Representation Learning in Question Answering Systems_chunk_060]</t>
  </si>
  <si>
    <t>QAEncoder 侧重于优化检索阶段，其核心痛点是稠密检索中文档嵌入与用户查询嵌入之间的语义差距（document-query gap），导致检索结果不够精准。另一篇论文（SYNQA）则侧重于优化后处理中的上下文归因阶段，其核心痛点是缺乏高质量、低成本的人工标注数据，难以训练出能够可靠识别答案所依据的上下文句子的模型。
来自: [QAEncoder: Towards Aligned Representation Learning in Question Answering Systems, 第2页, QAEncoder: Towards Aligned Representation Learning in Question Answering Systems_chunk_007]
来自: [On Synthesizing Data for Context Attribution in Question Answering, 第9页, On Synthesizing Data for Context Attribution in Question Answering_chunk_052]
来自: [On Synthesizing Data for Context Attribution in Question Answering, 第3页, On Synthesizing Data for Context Attribution in Question Answering_chunk_011]
来自: [On Synthesizing Data for Context Attribution in Question Answering, 第3页, On Synthesizing Data for Context Attribution in Question Answering_chunk_012]</t>
  </si>
  <si>
    <t>在HALOGEN的文本简化任务中，验证过程与摘要任务相同：先用GPT-3.5将模型生成的简化文本分解为独立事实，再用Llama-2-70B判断每个原子事实是否被原文蕴含（即进行蕴含决策）。
来自: [HALOGEN :FantasticLLMHallucinations and Where to Find Them, 第3页, HALOGEN :FantasticLLMHallucinations and Where to Find Them_chunk_017]</t>
  </si>
  <si>
    <t>在 HALoGEN 基准测试中，表现最好的 LLM 生成事实的幻觉率范围为 3% 到 86%，具体取决于任务领域。
来自: [HALOGEN :FantasticLLMHallucinations and Where to Find Them, 第1页, HALOGEN :FantasticLLMHallucinations and Where to Find Them_chunk_004]</t>
  </si>
  <si>
    <t>在Cited场景下，GPT-4o表现最佳，而Llama-3-70B仅与GPT-4o-mini相当；但在Full场景下，Llama-3-70B反超GPT-4o，取得最优性能。这一差异主要源于GPT-4o倾向于生成更长的回答，而长回答更容易遗漏引用，导致其在评估所有语句的Full场景中受到惩罚。
来自: [CiteEval: Principle-Driven Citation Evaluation for Source Attribution, 第8页, CiteEval: Principle-Driven Citation Evaluation for Source Attribution_chunk_041] [CiteEval: Principle-Driven Citation Evaluation for Source Attribution, 第8页, CiteEval: Principle-Driven Citation Evaluation for Source Attribution_chunk_042]</t>
  </si>
  <si>
    <t>FaithfulRAG在FaithEval数据集上使用Mistral-7B backbone的准确率为81.7%，相比最强基线（KRE的73.2%）提高了8.5%。
来自: [FaithfulRAG: Fact-Level Conflict Modeling for Context-Faithful Retrieval-Augmented Generation, 第7页, FaithfulRAG: Fact-Level Conflict Modeling for Context-Faithful Retrieval-Augmented Generation_chunk_037]</t>
  </si>
  <si>
    <t>Astute RAG 采用**自适应内部知识生成（adaptive generation of internal knowledge）**机制，即自适应地引出 LLM 的内部知识。  
FaithfulRAG 则采用**自我事实挖掘模块（Self-Fact Mining）**，将 LLM 的参数化知识外化为事实级别的自我事实。
来自: [ASTUTE RAG: Overcoming Imperfect Retrieval Augmentation and Knowledge Conflicts for Large Language Models, 第4页, ASTUTE RAG: Overcoming Imperfect Retrieval Augmentation and Knowledge Conflicts for Large Language Models_chunk_016]  
来自: [FaithfulRAG: Fact-Level Conflict Modeling for Context-Faithful Retrieval-Augmented Generation, 第2页, FaithfulRAG: Fact-Level Conflict Modeling for Context-Faithful Retrieval-Augmented Generation_chunk_007]</t>
  </si>
  <si>
    <t>RankCoT 相比 vanilla RAG 模型平均准确率提升了 2.5%，在 Has-Answer 和 Miss-Answer 等场景下均表现出更优的性能。这说明 RankCoT 能够提供更有意义的精炼信息，帮助大语言模型更好地回答问题，并能有效过滤噪声、减少无关文档的误导。
来自: [RankCoT: Refining Knowledge for Retrieval-Augmented Generation through Ranking Chain-of-Thoughts, 第6页, RankCoT: Refining Knowledge for Retrieval-Augmented Generation through Ranking Chain-of-Thoughts_chunk_036]
来自: [RankCoT: Refining Knowledge for Retrieval-Augmented Generation through Ranking Chain-of-Thoughts, 第7页, RankCoT: Refining Knowledge for Retrieval-Augmented Generation through Ranking Chain-of-Thoughts_chunk_045]</t>
  </si>
  <si>
    <t>在LongBench v2基准测试中，人类专家在15分钟时间限制下的准确率为53.7%。
来自: [LongBench v2: Towards Deeper Understanding and Reasoning on Realistic Long-context Multitasks, 第1页, LongBench v2: Towards Deeper Understanding and Reasoning on Realistic Long-context Multitasks_chunk_001]</t>
  </si>
  <si>
    <t>AGENTSTAR 在 WebShop 上比 GPT-4-Turbo 高出 61.00 分，在 ALFWorld 上高出 20.50 分，在 BabyAI 上高出 9.87 分。
来自: [AGENTGYM: Evaluating and Training Large Language Model-based Agents across Diverse Environments, 第7页, AGENTGYM: Evaluating and Training Large Language Model-based Agents across Diverse Environments_chunk_045]</t>
  </si>
  <si>
    <t>LongBench v2 是一个用于评估大语言模型在长上下文深度理解与推理能力的基准测试，覆盖单文档/多文档问答、长上下文学习、长对话历史理解、代码仓库理解、长结构化数据理解等场景。AGENTGYM 则是一个支持多环境交互探索与学习的智能体训练与评估框架，旨在让智能体在多种环境中进行探索和自我改进，以处理多样化的任务。简言之，前者聚焦于长上下文理解能力的评测，后者聚焦于多环境智能体的交互式学习与训练。
来自: [LongBench v2: Towards Deeper Understanding and Reasoning on Realistic Long-context Multitasks, 第1页, LongBench v2: Towards Deeper Understanding and Reasoning on Realistic Long-context Multitasks_chunk_001]、[LongBench v2: Towards Deeper Understanding and Reasoning on Realistic Long-context Multitasks, 第1页, LongBench v2: Towards Deeper Understanding and Reasoning on Realistic Long-context Multitasks_chunk_004]、[AGENTGYM: Evaluating and Training Large Language Model-based Agents across Diverse Environments, 第1页, AGENTGYM: Evaluating and Training Large Language Model-based Agents across Diverse Environments_chunk_004]、[AGENTGYM: Evaluating and Training Large Language Model-based Agents across Diverse Environments, 第3页, AGENTGYM: Evaluating and Training Large Language Model-based Agents across Diverse Environments_chunk_013]</t>
  </si>
  <si>
    <t>在Asclepius基准测试中，人类医生在所有医学专科的诊断准确率上均优于Med-MLLMs，平均准确率更高；即使是最优秀的Med-MLLM（GPT-4V，准确率54.3%）也仅略高于一名初级医生（57.4%），整体仍低于人类医生平均水平。GPT-4V的表现最接近人类医生，但所有Med-MLLMs的跨专科表现变异性明显低于人类医生。
来自: [Asclepius: A Spectrum Evaluation Benchmark for Medical Multi-Modal Large Language Models, 第7页, Asclepius: A Spectrum Evaluation Benchmark for Medical Multi-Modal Large Language Models_chunk_032]
来自: [Asclepius: A Spectrum Evaluation Benchmark for Medical Multi-Modal Large Language Models, 第15页, Asclepius: A Spectrum Evaluation Benchmark for Medical Multi-Modal Large Language Models_chunk_048]
来自: [Asclepius: A Spectrum Evaluation Benchmark for Medical Multi-Modal Large Language Models, 第6页, Asclepius: A Spectrum Evaluation Benchmark for Medical Multi-Modal Large Language Models_chunk_025]
来自: [Asclepius: A Spectrum Evaluation Benchmark for Medical Multi-Modal Large Language Models, 第7页, Asclepius: A Spectrum Evaluation Benchmark for Medical Multi-Modal Large Language Models_chunk_030]</t>
  </si>
  <si>
    <t>在LongDocURL基准测试中，GPT-4o取得了64.5的最高分，是唯一达到及格标准的模型。开源模型整体表现较弱，最高分仅为30.6（由Qwen2-VL获得），LLaVA-OneVision分别得到22.0和25.0分，其余开源模型均未超过20分。
来自: [LongDocURL: a Comprehensive Multimodal Long Document Benchmark Integrating Understanding, Reasoning, and Locating, 第2页, LongDocURL: a Comprehensive Multimodal Long Document Benchmark Integrating Understanding, Reasoning, and Locating_chunk_007]  
来自: [LongDocURL: a Comprehensive Multimodal Long Document Benchmark Integrating Understanding, Reasoning, and Locating, 第6页, LongDocURL: a Comprehensive Multimodal Long Document Benchmark Integrating Understanding, Reasoning, and Locating_chunk_026]</t>
  </si>
  <si>
    <t>RAGEval 的自动评估指标与人工评估具有高度一致性，在完整性、无关性和幻觉三个维度上的 Spearman 和 Pearson 相关系数均超过 0.75，且所有结果统计显著（p &lt; 0.0001）。
来自: [RAGEval: Scenario Specific RAG Evaluation Dataset Generation Framework, 第1页, RAGEval: Scenario Specific RAG Evaluation Dataset Generation Framework_chunk_001] 和 [RAGEval: Scenario Specific RAG Evaluation Dataset Generation Framework, 第12页, RAGEval: Scenario Specific RAG Evaluation Dataset Generation Framework_chunk_049]</t>
  </si>
  <si>
    <t>UniRAG 的核心创新在于将查询增强与编码统一到一个解码器模型中，消除任务分离，并通过检索和生成反馈自适应地选择最优增强策略。FaithfulRAG 的核心创新在于通过自事实挖掘模块将模型对问题的理解外化为事实级知识，再与上下文对齐以识别冲突，并借助自思考模块进行冲突推理与整合。
来自: [UniRAG: Unified Query Understanding Method for Retrieval Augmented Generation, 第1页, UniRAG: Unified Query Understanding Method for Retrieval Augmented Generation_chunk_001]
来自: [FaithfulRAG: Fact-Level Conflict Modeling for Context-Faithful Retrieval-Augmented Generation, 第2页, FaithfulRAG: Fact-Level Conflict Modeling for Context-Faithful Retrieval-Augmented Generation_chunk_007]</t>
  </si>
  <si>
    <t>MEMERAG和DragonBall都是用于评估RAG系统的基准数据集，但设计目标和评估维度存在明显差异。
**相同点**：两者均支持多语言评估（MEMERAG覆盖5种语言，DragonBall包含中英文），且都通过人工标注或关键点提取来保证评估的可靠性。
**不同点**：
- **定位**：MEMERAG是一个元评估基准，旨在帮助开发和选择可靠的自动评估器；DragonBall则是一个面向多领域（金融、法律、医疗）的通用RAG基准，用于直接评估RAG系统的性能。
- **规模**：MEMERAG包含1,250个问题、2,322个句子；DragonBall包含6,711个问题，规模更大。
- **评估维度**：MEMERAG明确聚焦于**忠实度（Faithfulness）**和**相关性（Relevance）**两个维度，即答案是否基于上下文、是否与问题相关。DragonBall则通过多种问题类型（如信息整合、数值比较、时间序列、不可回答问题）来考察RAG系统在跨文档检索、总结、时间推理等方面的能力，但未定义类似MEMERAG的单一质量维度。
来自: [MEMERAG:AMultilingual End-to-End Meta-Evaluation Benchmark for Retrieval Augmented Generation, 第3页, MEMERAG:AMultilingual End-to-End Meta-Evaluation Benchmark for Retrieval Augmented Generation_chunk_015]；[MEMERAG:AMultilingual End-to-End Meta-Evaluation Benchmark for Retrieval Augmented Generation, 第5页, MEMERAG:AMultilingual End-to-End Meta-Evaluation Benchmark for Retrieval Augmented Generation_chunk_025]；[RAGEval: Scenario Specific RAG Evaluation Dataset Generation Framework, 第4页, RAGEval: Scenario Specific RAG Evaluation Dataset Generation Framework_chunk_018]；[RAGEval: Scenario Specific RAG Evaluation Dataset Generation Framework, 第25页, RAGEval: Scenario Specific RAG Evaluation Dataset Generation Framework_chunk_107]；[MEMERAG:AMultilingual End-to-End Meta-Evaluation Benchmark for Retrieval Augmented Generation, 第6页, MEMERAG:AMultilingual End-to-End Meta-Evaluation Benchmark for Retrieval Augmented Generation_chunk_037]</t>
  </si>
  <si>
    <t>Agentic Reasoning 通过集成外部 LLM 代理（Web-Search、Code、Mind-Map）作为工具来增强推理能力；AR-MCTS 则通过主动检索（Active Retrieval）与蒙特卡洛树搜索（MCTS）相结合，并逐步对齐过程奖励模型（PRM）进行过程级验证，从而提升复杂推理能力。
来自: [Agentic Reasoning: A Streamlined Framework for Enhancing LLM Reasoning with Agentic Tools, 第2页, Agentic Reasoning: A Streamlined Framework for Enhancing LLM Reasoning with Agentic Tools_chunk_008] 和 [Progressive Multimodal Reasoning via Active Retrieval, 第1页, Progressive Multimodal Reasoning via Active Retrieval_chunk_000]</t>
  </si>
  <si>
    <t>MAIN-RAG 采用无需训练的多智能体协同过滤方法，通过多个 LLM 智能体对检索文档进行评分与筛选，并引入自适应阈值机制动态调整相关性标准，以减少噪声、提升可靠性。RAG-Critic 则构建层次化错误分类体系，训练错误批评模型，并利用批评引导的智能体工作流，根据错误反馈自主定制和执行纠正方案，从而增强 RAG 系统的可靠性。
来自: [MAIN-RAG: Multi-Agent Filtering Retrieval-Augmented Generation, 第1页, MAIN-RAG: Multi-Agent Filtering Retrieval-Augmented Generation_chunk_006]
来自: [RAG-Critic: Leveraging Automated Critic-Guided Agentic Workflow for Retrieval Augmented Generation, 第2页, RAG-Critic: Leveraging Automated Critic-Guided Agentic Workflow for Retrieval Augmented Generation_chunk_005]</t>
  </si>
  <si>
    <t>CypherBench 提出了什么核心方法来应对 RDF 查询的挑战？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</si>
</sst>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2"/>
      <charset val="161"/>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xf numFmtId="0" fontId="3"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21" workbookViewId="0">
      <selection activeCell="Q21" sqref="Q21"/>
    </sheetView>
  </sheetViews>
  <sheetFormatPr defaultRowHeight="14" x14ac:dyDescent="0.25"/>
  <cols>
    <col min="1" max="1" width="21.1796875" style="2" customWidth="1"/>
    <col min="2" max="2" width="9.6328125" style="2" customWidth="1"/>
    <col min="3" max="4" width="21.179687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252" x14ac:dyDescent="0.25">
      <c r="A2" s="2" t="s">
        <v>15</v>
      </c>
      <c r="B2" s="2" t="s">
        <v>16</v>
      </c>
      <c r="C2" s="2" t="s">
        <v>17</v>
      </c>
      <c r="D2" s="2" t="s">
        <v>119</v>
      </c>
      <c r="E2" s="2">
        <v>1</v>
      </c>
      <c r="F2" s="2">
        <v>1</v>
      </c>
      <c r="G2" s="2">
        <v>1</v>
      </c>
      <c r="H2" s="2">
        <v>1</v>
      </c>
      <c r="I2" s="4">
        <v>1</v>
      </c>
      <c r="J2" s="2">
        <v>1</v>
      </c>
      <c r="K2" s="2" t="b">
        <v>0</v>
      </c>
      <c r="L2" s="2">
        <v>3</v>
      </c>
      <c r="M2" s="2">
        <v>0</v>
      </c>
      <c r="N2" s="2">
        <v>0</v>
      </c>
    </row>
    <row r="3" spans="1:15" ht="210" x14ac:dyDescent="0.25">
      <c r="A3" s="2" t="s">
        <v>18</v>
      </c>
      <c r="B3" s="2" t="s">
        <v>16</v>
      </c>
      <c r="C3" s="2" t="s">
        <v>19</v>
      </c>
      <c r="D3" s="2" t="s">
        <v>120</v>
      </c>
      <c r="E3" s="2">
        <v>0</v>
      </c>
      <c r="F3" s="2">
        <v>1</v>
      </c>
      <c r="G3" s="2">
        <v>1</v>
      </c>
      <c r="H3" s="2">
        <v>0.33333333333333331</v>
      </c>
      <c r="I3" s="4">
        <v>1</v>
      </c>
      <c r="J3" s="2">
        <v>1</v>
      </c>
      <c r="K3" s="2" t="b">
        <v>0</v>
      </c>
      <c r="L3" s="2">
        <v>1</v>
      </c>
      <c r="M3" s="2">
        <v>0</v>
      </c>
      <c r="N3" s="2">
        <v>0</v>
      </c>
    </row>
    <row r="4" spans="1:15" ht="294" x14ac:dyDescent="0.25">
      <c r="A4" s="2" t="s">
        <v>20</v>
      </c>
      <c r="B4" s="2" t="s">
        <v>16</v>
      </c>
      <c r="C4" s="2" t="s">
        <v>21</v>
      </c>
      <c r="D4" s="2" t="s">
        <v>121</v>
      </c>
      <c r="E4" s="2">
        <v>1</v>
      </c>
      <c r="F4" s="2">
        <v>1</v>
      </c>
      <c r="G4" s="2">
        <v>1</v>
      </c>
      <c r="H4" s="2">
        <v>1</v>
      </c>
      <c r="I4" s="4">
        <v>1</v>
      </c>
      <c r="J4" s="2">
        <v>1</v>
      </c>
      <c r="K4" s="2" t="b">
        <v>0</v>
      </c>
      <c r="L4" s="2">
        <v>1</v>
      </c>
      <c r="M4" s="2">
        <v>0</v>
      </c>
      <c r="N4" s="2">
        <v>0</v>
      </c>
    </row>
    <row r="5" spans="1:15" ht="238" x14ac:dyDescent="0.25">
      <c r="A5" s="2" t="s">
        <v>22</v>
      </c>
      <c r="B5" s="2" t="s">
        <v>16</v>
      </c>
      <c r="C5" s="2" t="s">
        <v>23</v>
      </c>
      <c r="D5" s="2" t="s">
        <v>122</v>
      </c>
      <c r="E5" s="2">
        <v>1</v>
      </c>
      <c r="F5" s="2">
        <v>1</v>
      </c>
      <c r="G5" s="2">
        <v>1</v>
      </c>
      <c r="H5" s="2">
        <v>1</v>
      </c>
      <c r="I5" s="4">
        <v>1</v>
      </c>
      <c r="J5" s="2">
        <v>0.66700000000000004</v>
      </c>
      <c r="K5" s="2" t="b">
        <v>0</v>
      </c>
      <c r="L5" s="2">
        <v>1</v>
      </c>
      <c r="M5" s="2">
        <v>0</v>
      </c>
      <c r="N5" s="2">
        <v>1</v>
      </c>
    </row>
    <row r="6" spans="1:15" ht="364" x14ac:dyDescent="0.25">
      <c r="A6" s="2" t="s">
        <v>24</v>
      </c>
      <c r="B6" s="2" t="s">
        <v>16</v>
      </c>
      <c r="C6" s="2" t="s">
        <v>25</v>
      </c>
      <c r="D6" s="2" t="s">
        <v>123</v>
      </c>
      <c r="E6" s="2">
        <v>0</v>
      </c>
      <c r="F6" s="2">
        <v>1</v>
      </c>
      <c r="G6" s="2">
        <v>1</v>
      </c>
      <c r="H6" s="2">
        <v>0.33333333333333331</v>
      </c>
      <c r="I6" s="4">
        <v>1</v>
      </c>
      <c r="J6" s="2">
        <v>0.66700000000000004</v>
      </c>
      <c r="K6" s="2" t="b">
        <v>0</v>
      </c>
      <c r="L6" s="2">
        <v>2</v>
      </c>
      <c r="M6" s="2">
        <v>0</v>
      </c>
      <c r="N6" s="2">
        <v>2</v>
      </c>
    </row>
    <row r="7" spans="1:15" ht="238" x14ac:dyDescent="0.25">
      <c r="A7" s="2" t="s">
        <v>26</v>
      </c>
      <c r="B7" s="2" t="s">
        <v>16</v>
      </c>
      <c r="C7" s="2" t="s">
        <v>27</v>
      </c>
      <c r="D7" s="2" t="s">
        <v>125</v>
      </c>
      <c r="E7" s="2">
        <v>1</v>
      </c>
      <c r="F7" s="2">
        <v>1</v>
      </c>
      <c r="G7" s="2">
        <v>1</v>
      </c>
      <c r="H7" s="2">
        <v>1</v>
      </c>
      <c r="I7" s="4">
        <v>1</v>
      </c>
      <c r="J7" s="2">
        <v>0.66700000000000004</v>
      </c>
      <c r="K7" s="2" t="b">
        <v>0</v>
      </c>
      <c r="L7" s="2">
        <v>1</v>
      </c>
      <c r="M7" s="2">
        <v>0</v>
      </c>
      <c r="N7" s="2">
        <v>1</v>
      </c>
    </row>
    <row r="8" spans="1:15" ht="308" x14ac:dyDescent="0.25">
      <c r="A8" s="2" t="s">
        <v>28</v>
      </c>
      <c r="B8" s="2" t="s">
        <v>16</v>
      </c>
      <c r="C8" s="2" t="s">
        <v>29</v>
      </c>
      <c r="D8" s="2" t="s">
        <v>126</v>
      </c>
      <c r="E8" s="2">
        <v>1</v>
      </c>
      <c r="F8" s="2">
        <v>1</v>
      </c>
      <c r="G8" s="2">
        <v>1</v>
      </c>
      <c r="H8" s="2">
        <v>1</v>
      </c>
      <c r="I8" s="4">
        <v>1</v>
      </c>
      <c r="J8" s="2">
        <v>1</v>
      </c>
      <c r="K8" s="2" t="b">
        <v>0</v>
      </c>
      <c r="L8" s="2">
        <v>1</v>
      </c>
      <c r="M8" s="2">
        <v>0</v>
      </c>
      <c r="N8" s="2">
        <v>0</v>
      </c>
    </row>
    <row r="9" spans="1:15" ht="210" x14ac:dyDescent="0.25">
      <c r="A9" s="2" t="s">
        <v>30</v>
      </c>
      <c r="B9" s="2" t="s">
        <v>16</v>
      </c>
      <c r="C9" s="2" t="s">
        <v>31</v>
      </c>
      <c r="D9" s="2" t="s">
        <v>129</v>
      </c>
      <c r="E9" s="2">
        <v>1</v>
      </c>
      <c r="F9" s="2">
        <v>1</v>
      </c>
      <c r="G9" s="2">
        <v>1</v>
      </c>
      <c r="H9" s="2">
        <v>1</v>
      </c>
      <c r="I9" s="4">
        <v>1</v>
      </c>
      <c r="J9" s="2">
        <v>1</v>
      </c>
      <c r="K9" s="2" t="b">
        <v>0</v>
      </c>
      <c r="L9" s="2">
        <v>4</v>
      </c>
      <c r="M9" s="2">
        <v>0</v>
      </c>
      <c r="N9" s="2">
        <v>0</v>
      </c>
    </row>
    <row r="10" spans="1:15" ht="409.5" x14ac:dyDescent="0.25">
      <c r="A10" s="2" t="s">
        <v>32</v>
      </c>
      <c r="B10" s="2" t="s">
        <v>16</v>
      </c>
      <c r="C10" s="2" t="s">
        <v>33</v>
      </c>
      <c r="D10" s="2" t="s">
        <v>130</v>
      </c>
      <c r="E10" s="2">
        <v>1</v>
      </c>
      <c r="F10" s="2">
        <v>1</v>
      </c>
      <c r="G10" s="2">
        <v>1</v>
      </c>
      <c r="H10" s="2">
        <v>1</v>
      </c>
      <c r="I10" s="4">
        <v>0.5</v>
      </c>
      <c r="J10" s="2">
        <v>1</v>
      </c>
      <c r="K10" s="2" t="b">
        <v>0</v>
      </c>
      <c r="L10" s="2">
        <v>3</v>
      </c>
      <c r="M10" s="2">
        <v>0</v>
      </c>
      <c r="N10" s="2">
        <v>0</v>
      </c>
    </row>
    <row r="11" spans="1:15" ht="238" x14ac:dyDescent="0.25">
      <c r="A11" s="2" t="s">
        <v>34</v>
      </c>
      <c r="B11" s="2" t="s">
        <v>16</v>
      </c>
      <c r="C11" s="2" t="s">
        <v>35</v>
      </c>
      <c r="D11" s="2" t="s">
        <v>132</v>
      </c>
      <c r="E11" s="2">
        <v>1</v>
      </c>
      <c r="F11" s="2">
        <v>1</v>
      </c>
      <c r="G11" s="2">
        <v>1</v>
      </c>
      <c r="H11" s="2">
        <v>1</v>
      </c>
      <c r="I11" s="4">
        <v>1</v>
      </c>
      <c r="J11" s="2">
        <v>0.85699999999999998</v>
      </c>
      <c r="K11" s="2" t="b">
        <v>0</v>
      </c>
      <c r="L11" s="2">
        <v>3</v>
      </c>
      <c r="M11" s="2">
        <v>0</v>
      </c>
      <c r="N11" s="2">
        <v>1</v>
      </c>
    </row>
    <row r="12" spans="1:15" ht="266" x14ac:dyDescent="0.25">
      <c r="A12" s="2" t="s">
        <v>36</v>
      </c>
      <c r="B12" s="2" t="s">
        <v>16</v>
      </c>
      <c r="C12" s="2" t="s">
        <v>37</v>
      </c>
      <c r="D12" s="2" t="s">
        <v>133</v>
      </c>
      <c r="E12" s="2">
        <v>1</v>
      </c>
      <c r="F12" s="2">
        <v>1</v>
      </c>
      <c r="G12" s="2">
        <v>1</v>
      </c>
      <c r="H12" s="2">
        <v>1</v>
      </c>
      <c r="I12" s="4">
        <v>1</v>
      </c>
      <c r="J12" s="2">
        <v>1</v>
      </c>
      <c r="K12" s="2" t="b">
        <v>0</v>
      </c>
      <c r="L12" s="2">
        <v>2</v>
      </c>
      <c r="M12" s="2">
        <v>0</v>
      </c>
      <c r="N12" s="2">
        <v>0</v>
      </c>
    </row>
    <row r="13" spans="1:15" ht="336" x14ac:dyDescent="0.25">
      <c r="A13" s="2" t="s">
        <v>38</v>
      </c>
      <c r="B13" s="2" t="s">
        <v>16</v>
      </c>
      <c r="C13" s="2" t="s">
        <v>39</v>
      </c>
      <c r="D13" s="2" t="s">
        <v>134</v>
      </c>
      <c r="E13" s="2">
        <v>1</v>
      </c>
      <c r="F13" s="2">
        <v>1</v>
      </c>
      <c r="G13" s="2">
        <v>1</v>
      </c>
      <c r="H13" s="2">
        <v>1</v>
      </c>
      <c r="I13" s="4">
        <v>1</v>
      </c>
      <c r="J13" s="2">
        <v>1</v>
      </c>
      <c r="K13" s="2" t="b">
        <v>0</v>
      </c>
      <c r="L13" s="2">
        <v>3</v>
      </c>
      <c r="M13" s="2">
        <v>0</v>
      </c>
      <c r="N13" s="2">
        <v>0</v>
      </c>
    </row>
    <row r="14" spans="1:15" ht="364" x14ac:dyDescent="0.25">
      <c r="A14" s="2" t="s">
        <v>40</v>
      </c>
      <c r="B14" s="2" t="s">
        <v>41</v>
      </c>
      <c r="C14" s="2" t="s">
        <v>42</v>
      </c>
      <c r="D14" s="2" t="s">
        <v>135</v>
      </c>
      <c r="E14" s="2">
        <v>1</v>
      </c>
      <c r="F14" s="2">
        <v>1</v>
      </c>
      <c r="G14" s="2">
        <v>1</v>
      </c>
      <c r="H14" s="2">
        <v>1</v>
      </c>
      <c r="I14" s="4">
        <v>0.5</v>
      </c>
      <c r="J14" s="2">
        <v>1</v>
      </c>
      <c r="K14" s="2" t="b">
        <v>0</v>
      </c>
      <c r="L14" s="2">
        <v>1</v>
      </c>
      <c r="M14" s="2">
        <v>0</v>
      </c>
      <c r="N14" s="2">
        <v>0</v>
      </c>
    </row>
    <row r="15" spans="1:15" ht="409.5" x14ac:dyDescent="0.25">
      <c r="A15" s="2" t="s">
        <v>43</v>
      </c>
      <c r="B15" s="2" t="s">
        <v>41</v>
      </c>
      <c r="C15" s="2" t="s">
        <v>44</v>
      </c>
      <c r="D15" s="2" t="s">
        <v>131</v>
      </c>
      <c r="E15" s="2">
        <v>1</v>
      </c>
      <c r="F15" s="2">
        <v>1</v>
      </c>
      <c r="G15" s="2">
        <v>1</v>
      </c>
      <c r="H15" s="2">
        <v>1</v>
      </c>
      <c r="I15" s="4">
        <v>1</v>
      </c>
      <c r="J15" s="2">
        <v>1</v>
      </c>
      <c r="K15" s="2" t="b">
        <v>0</v>
      </c>
      <c r="L15" s="2">
        <v>3</v>
      </c>
      <c r="M15" s="2">
        <v>0</v>
      </c>
      <c r="N15" s="2">
        <v>0</v>
      </c>
    </row>
    <row r="16" spans="1:15" ht="336" x14ac:dyDescent="0.25">
      <c r="A16" s="2" t="s">
        <v>45</v>
      </c>
      <c r="B16" s="2" t="s">
        <v>41</v>
      </c>
      <c r="C16" s="2" t="s">
        <v>46</v>
      </c>
      <c r="D16" s="2" t="s">
        <v>136</v>
      </c>
      <c r="E16" s="2">
        <v>1</v>
      </c>
      <c r="F16" s="2">
        <v>1</v>
      </c>
      <c r="G16" s="2">
        <v>1</v>
      </c>
      <c r="H16" s="2">
        <v>1</v>
      </c>
      <c r="I16" s="4">
        <v>1</v>
      </c>
      <c r="J16" s="2">
        <v>1</v>
      </c>
      <c r="K16" s="2" t="b">
        <v>0</v>
      </c>
      <c r="L16" s="2">
        <v>3</v>
      </c>
      <c r="M16" s="2">
        <v>0</v>
      </c>
      <c r="N16" s="2">
        <v>0</v>
      </c>
    </row>
    <row r="17" spans="1:14" ht="409.5" x14ac:dyDescent="0.25">
      <c r="A17" s="2" t="s">
        <v>47</v>
      </c>
      <c r="B17" s="2" t="s">
        <v>41</v>
      </c>
      <c r="C17" s="2" t="s">
        <v>48</v>
      </c>
      <c r="D17" s="2" t="s">
        <v>137</v>
      </c>
      <c r="E17" s="2">
        <v>0</v>
      </c>
      <c r="F17" s="2">
        <v>1</v>
      </c>
      <c r="G17" s="2">
        <v>1</v>
      </c>
      <c r="H17" s="2">
        <v>0.33333333333333331</v>
      </c>
      <c r="I17" s="4">
        <v>0.5</v>
      </c>
      <c r="J17" s="2">
        <v>1</v>
      </c>
      <c r="K17" s="2" t="b">
        <v>0</v>
      </c>
      <c r="L17" s="2">
        <v>2</v>
      </c>
      <c r="M17" s="2">
        <v>0</v>
      </c>
      <c r="N17" s="2">
        <v>0</v>
      </c>
    </row>
    <row r="18" spans="1:14" ht="350" x14ac:dyDescent="0.25">
      <c r="A18" s="2" t="s">
        <v>49</v>
      </c>
      <c r="B18" s="2" t="s">
        <v>41</v>
      </c>
      <c r="C18" s="2" t="s">
        <v>50</v>
      </c>
      <c r="D18" s="2" t="s">
        <v>138</v>
      </c>
      <c r="E18" s="2">
        <v>1</v>
      </c>
      <c r="F18" s="2">
        <v>1</v>
      </c>
      <c r="G18" s="2">
        <v>1</v>
      </c>
      <c r="H18" s="2">
        <v>1</v>
      </c>
      <c r="I18" s="4">
        <v>0.66700000000000004</v>
      </c>
      <c r="J18" s="2">
        <v>1</v>
      </c>
      <c r="K18" s="2" t="b">
        <v>0</v>
      </c>
      <c r="L18" s="2">
        <v>4</v>
      </c>
      <c r="M18" s="2">
        <v>0</v>
      </c>
      <c r="N18" s="2">
        <v>0</v>
      </c>
    </row>
    <row r="19" spans="1:14" ht="322" x14ac:dyDescent="0.25">
      <c r="A19" s="2" t="s">
        <v>51</v>
      </c>
      <c r="B19" s="2" t="s">
        <v>41</v>
      </c>
      <c r="C19" s="2" t="s">
        <v>52</v>
      </c>
      <c r="D19" s="2" t="s">
        <v>139</v>
      </c>
      <c r="E19" s="2">
        <v>0</v>
      </c>
      <c r="F19" s="2">
        <v>1</v>
      </c>
      <c r="G19" s="2">
        <v>1</v>
      </c>
      <c r="H19" s="2">
        <v>0.33333333333333331</v>
      </c>
      <c r="I19" s="4">
        <v>1</v>
      </c>
      <c r="J19" s="2">
        <v>1</v>
      </c>
      <c r="K19" s="2" t="b">
        <v>0</v>
      </c>
      <c r="L19" s="2">
        <v>3</v>
      </c>
      <c r="M19" s="2">
        <v>0</v>
      </c>
      <c r="N19" s="2">
        <v>0</v>
      </c>
    </row>
    <row r="20" spans="1:14" ht="266" x14ac:dyDescent="0.25">
      <c r="A20" s="2" t="s">
        <v>53</v>
      </c>
      <c r="B20" s="2" t="s">
        <v>41</v>
      </c>
      <c r="C20" s="2" t="s">
        <v>54</v>
      </c>
      <c r="D20" s="6" t="s">
        <v>140</v>
      </c>
      <c r="E20" s="2">
        <v>1</v>
      </c>
      <c r="F20" s="2">
        <v>1</v>
      </c>
      <c r="G20" s="2">
        <v>1</v>
      </c>
      <c r="H20" s="2">
        <v>1</v>
      </c>
      <c r="I20" s="4">
        <v>1</v>
      </c>
      <c r="J20" s="2">
        <v>1</v>
      </c>
      <c r="K20" s="2" t="b">
        <v>0</v>
      </c>
      <c r="L20" s="2">
        <v>2</v>
      </c>
      <c r="M20" s="2">
        <v>0</v>
      </c>
      <c r="N20" s="2">
        <v>0</v>
      </c>
    </row>
    <row r="21" spans="1:14" ht="409.5" x14ac:dyDescent="0.25">
      <c r="A21" s="2" t="s">
        <v>161</v>
      </c>
      <c r="B21" s="2" t="s">
        <v>41</v>
      </c>
      <c r="C21" s="2" t="s">
        <v>55</v>
      </c>
      <c r="D21" s="2" t="s">
        <v>141</v>
      </c>
      <c r="E21" s="2">
        <v>1</v>
      </c>
      <c r="F21" s="2">
        <v>1</v>
      </c>
      <c r="G21" s="2">
        <v>1</v>
      </c>
      <c r="H21" s="2">
        <v>1</v>
      </c>
      <c r="I21" s="4">
        <v>1</v>
      </c>
      <c r="J21" s="2">
        <v>1</v>
      </c>
      <c r="K21" s="2" t="b">
        <v>0</v>
      </c>
      <c r="L21" s="2">
        <v>1</v>
      </c>
      <c r="M21" s="2">
        <v>0</v>
      </c>
      <c r="N21" s="2">
        <v>0</v>
      </c>
    </row>
    <row r="22" spans="1:14" ht="364" x14ac:dyDescent="0.25">
      <c r="A22" s="2" t="s">
        <v>56</v>
      </c>
      <c r="B22" s="2" t="s">
        <v>41</v>
      </c>
      <c r="C22" s="2" t="s">
        <v>57</v>
      </c>
      <c r="D22" s="2" t="s">
        <v>142</v>
      </c>
      <c r="E22" s="2">
        <v>1</v>
      </c>
      <c r="F22" s="2">
        <v>1</v>
      </c>
      <c r="G22" s="2">
        <v>1</v>
      </c>
      <c r="H22" s="2">
        <v>1</v>
      </c>
      <c r="I22" s="4">
        <v>1</v>
      </c>
      <c r="J22" s="2">
        <v>1</v>
      </c>
      <c r="K22" s="2" t="b">
        <v>0</v>
      </c>
      <c r="L22" s="2">
        <v>3</v>
      </c>
      <c r="M22" s="2">
        <v>0</v>
      </c>
      <c r="N22" s="2">
        <v>0</v>
      </c>
    </row>
    <row r="23" spans="1:14" ht="409.5" x14ac:dyDescent="0.25">
      <c r="A23" s="2" t="s">
        <v>58</v>
      </c>
      <c r="B23" s="2" t="s">
        <v>41</v>
      </c>
      <c r="C23" s="2" t="s">
        <v>59</v>
      </c>
      <c r="D23" s="2" t="s">
        <v>143</v>
      </c>
      <c r="E23" s="2">
        <v>1</v>
      </c>
      <c r="F23" s="2">
        <v>1</v>
      </c>
      <c r="G23" s="2">
        <v>1</v>
      </c>
      <c r="H23" s="2">
        <v>1</v>
      </c>
      <c r="I23" s="4">
        <v>1</v>
      </c>
      <c r="J23" s="2">
        <v>0.8</v>
      </c>
      <c r="K23" s="2" t="b">
        <v>0</v>
      </c>
      <c r="L23" s="2">
        <v>2</v>
      </c>
      <c r="M23" s="2">
        <v>0</v>
      </c>
      <c r="N23" s="2">
        <v>1</v>
      </c>
    </row>
    <row r="24" spans="1:14" ht="238" x14ac:dyDescent="0.25">
      <c r="A24" s="2" t="s">
        <v>60</v>
      </c>
      <c r="B24" s="2" t="s">
        <v>41</v>
      </c>
      <c r="C24" s="2" t="s">
        <v>61</v>
      </c>
      <c r="D24" s="2" t="s">
        <v>145</v>
      </c>
      <c r="E24" s="2">
        <v>1</v>
      </c>
      <c r="F24" s="2">
        <v>1</v>
      </c>
      <c r="G24" s="2">
        <v>1</v>
      </c>
      <c r="H24" s="2">
        <v>1</v>
      </c>
      <c r="I24" s="4">
        <v>1</v>
      </c>
      <c r="J24" s="2">
        <v>0.66700000000000004</v>
      </c>
      <c r="K24" s="2" t="b">
        <v>0</v>
      </c>
      <c r="L24" s="2">
        <v>1</v>
      </c>
      <c r="M24" s="2">
        <v>0</v>
      </c>
      <c r="N24" s="2">
        <v>1</v>
      </c>
    </row>
    <row r="25" spans="1:14" ht="409.5" x14ac:dyDescent="0.25">
      <c r="A25" s="2" t="s">
        <v>62</v>
      </c>
      <c r="B25" s="2" t="s">
        <v>63</v>
      </c>
      <c r="C25" s="2" t="s">
        <v>64</v>
      </c>
      <c r="D25" s="2" t="s">
        <v>147</v>
      </c>
      <c r="E25" s="2">
        <v>1</v>
      </c>
      <c r="F25" s="2">
        <v>1</v>
      </c>
      <c r="G25" s="2">
        <v>1</v>
      </c>
      <c r="H25" s="2">
        <v>1</v>
      </c>
      <c r="I25" s="4">
        <v>1</v>
      </c>
      <c r="J25" s="2">
        <v>1</v>
      </c>
      <c r="K25" s="2" t="b">
        <v>0</v>
      </c>
      <c r="L25" s="2">
        <v>2</v>
      </c>
      <c r="M25" s="2">
        <v>0</v>
      </c>
      <c r="N25" s="2">
        <v>0</v>
      </c>
    </row>
    <row r="26" spans="1:14" ht="280" x14ac:dyDescent="0.25">
      <c r="A26" s="2" t="s">
        <v>65</v>
      </c>
      <c r="B26" s="2" t="s">
        <v>63</v>
      </c>
      <c r="C26" s="2" t="s">
        <v>66</v>
      </c>
      <c r="D26" s="2" t="s">
        <v>148</v>
      </c>
      <c r="E26" s="2">
        <v>1</v>
      </c>
      <c r="F26" s="2">
        <v>1</v>
      </c>
      <c r="G26" s="2">
        <v>1</v>
      </c>
      <c r="H26" s="2">
        <v>1</v>
      </c>
      <c r="I26" s="4">
        <v>1</v>
      </c>
      <c r="J26" s="2">
        <v>1</v>
      </c>
      <c r="K26" s="2" t="b">
        <v>0</v>
      </c>
      <c r="L26" s="2">
        <v>1</v>
      </c>
      <c r="M26" s="2">
        <v>0</v>
      </c>
      <c r="N26" s="2">
        <v>0</v>
      </c>
    </row>
    <row r="27" spans="1:14" ht="409.5" x14ac:dyDescent="0.25">
      <c r="A27" s="2" t="s">
        <v>67</v>
      </c>
      <c r="B27" s="2" t="s">
        <v>63</v>
      </c>
      <c r="C27" s="2" t="s">
        <v>68</v>
      </c>
      <c r="D27" s="2" t="s">
        <v>150</v>
      </c>
      <c r="E27" s="2">
        <v>1</v>
      </c>
      <c r="F27" s="2">
        <v>1</v>
      </c>
      <c r="G27" s="2">
        <v>1</v>
      </c>
      <c r="H27" s="2">
        <v>1</v>
      </c>
      <c r="I27" s="4">
        <v>1</v>
      </c>
      <c r="J27" s="2">
        <v>0.66700000000000004</v>
      </c>
      <c r="K27" s="2" t="b">
        <v>0</v>
      </c>
      <c r="L27" s="2">
        <v>1</v>
      </c>
      <c r="M27" s="2">
        <v>0</v>
      </c>
      <c r="N27" s="2">
        <v>1</v>
      </c>
    </row>
    <row r="28" spans="1:14" ht="182" x14ac:dyDescent="0.25">
      <c r="A28" s="2" t="s">
        <v>69</v>
      </c>
      <c r="B28" s="2" t="s">
        <v>63</v>
      </c>
      <c r="C28" s="2" t="s">
        <v>70</v>
      </c>
      <c r="D28" s="2" t="s">
        <v>146</v>
      </c>
      <c r="E28" s="2">
        <v>1</v>
      </c>
      <c r="F28" s="2">
        <v>1</v>
      </c>
      <c r="G28" s="2">
        <v>1</v>
      </c>
      <c r="H28" s="2">
        <v>1</v>
      </c>
      <c r="I28" s="4">
        <v>1</v>
      </c>
      <c r="J28" s="2">
        <v>1</v>
      </c>
      <c r="K28" s="2" t="b">
        <v>0</v>
      </c>
      <c r="L28" s="2">
        <v>1</v>
      </c>
      <c r="M28" s="2">
        <v>0</v>
      </c>
      <c r="N28" s="2">
        <v>0</v>
      </c>
    </row>
    <row r="29" spans="1:14" ht="266" x14ac:dyDescent="0.25">
      <c r="A29" s="2" t="s">
        <v>71</v>
      </c>
      <c r="B29" s="2" t="s">
        <v>63</v>
      </c>
      <c r="C29" s="2" t="s">
        <v>72</v>
      </c>
      <c r="D29" s="2" t="s">
        <v>151</v>
      </c>
      <c r="E29" s="2">
        <v>1</v>
      </c>
      <c r="F29" s="2">
        <v>1</v>
      </c>
      <c r="G29" s="2">
        <v>1</v>
      </c>
      <c r="H29" s="2">
        <v>1</v>
      </c>
      <c r="I29" s="4">
        <v>1</v>
      </c>
      <c r="J29" s="2">
        <v>1</v>
      </c>
      <c r="K29" s="2" t="b">
        <v>0</v>
      </c>
      <c r="L29" s="2">
        <v>1</v>
      </c>
      <c r="M29" s="2">
        <v>0</v>
      </c>
      <c r="N29" s="2">
        <v>0</v>
      </c>
    </row>
    <row r="30" spans="1:14" ht="280" x14ac:dyDescent="0.25">
      <c r="A30" s="2" t="s">
        <v>73</v>
      </c>
      <c r="B30" s="2" t="s">
        <v>63</v>
      </c>
      <c r="C30" s="2" t="s">
        <v>74</v>
      </c>
      <c r="D30" s="2" t="s">
        <v>152</v>
      </c>
      <c r="E30" s="2">
        <v>1</v>
      </c>
      <c r="F30" s="2">
        <v>1</v>
      </c>
      <c r="G30" s="2">
        <v>1</v>
      </c>
      <c r="H30" s="2">
        <v>1</v>
      </c>
      <c r="I30" s="4">
        <v>1</v>
      </c>
      <c r="J30" s="2">
        <v>1</v>
      </c>
      <c r="K30" s="2" t="b">
        <v>0</v>
      </c>
      <c r="L30" s="2">
        <v>3</v>
      </c>
      <c r="M30" s="2">
        <v>0</v>
      </c>
      <c r="N30" s="2">
        <v>0</v>
      </c>
    </row>
    <row r="31" spans="1:14" ht="364" x14ac:dyDescent="0.25">
      <c r="A31" s="2" t="s">
        <v>75</v>
      </c>
      <c r="B31" s="2" t="s">
        <v>63</v>
      </c>
      <c r="C31" s="2" t="s">
        <v>76</v>
      </c>
      <c r="D31" s="2" t="s">
        <v>127</v>
      </c>
      <c r="E31" s="2">
        <v>1</v>
      </c>
      <c r="F31" s="2">
        <v>1</v>
      </c>
      <c r="G31" s="2">
        <v>1</v>
      </c>
      <c r="H31" s="2">
        <v>1</v>
      </c>
      <c r="I31" s="4">
        <v>1</v>
      </c>
      <c r="J31" s="2">
        <v>1</v>
      </c>
      <c r="K31" s="2" t="b">
        <v>0</v>
      </c>
      <c r="L31" s="2">
        <v>3</v>
      </c>
      <c r="M31" s="2">
        <v>0</v>
      </c>
      <c r="N31" s="2">
        <v>0</v>
      </c>
    </row>
    <row r="32" spans="1:14" ht="409.5" x14ac:dyDescent="0.25">
      <c r="A32" s="2" t="s">
        <v>77</v>
      </c>
      <c r="B32" s="2" t="s">
        <v>63</v>
      </c>
      <c r="C32" s="2" t="s">
        <v>78</v>
      </c>
      <c r="D32" s="2" t="s">
        <v>128</v>
      </c>
      <c r="E32" s="2">
        <v>1</v>
      </c>
      <c r="F32" s="2">
        <v>1</v>
      </c>
      <c r="G32" s="2">
        <v>1</v>
      </c>
      <c r="H32" s="2">
        <v>1</v>
      </c>
      <c r="I32" s="4">
        <v>0.5</v>
      </c>
      <c r="J32" s="2">
        <v>1</v>
      </c>
      <c r="K32" s="2" t="b">
        <v>0</v>
      </c>
      <c r="L32" s="2">
        <v>3</v>
      </c>
      <c r="M32" s="2">
        <v>0</v>
      </c>
      <c r="N32" s="2">
        <v>0</v>
      </c>
    </row>
    <row r="33" spans="1:15" ht="409.5" x14ac:dyDescent="0.25">
      <c r="A33" s="2" t="s">
        <v>79</v>
      </c>
      <c r="B33" s="2" t="s">
        <v>63</v>
      </c>
      <c r="C33" s="2" t="s">
        <v>80</v>
      </c>
      <c r="D33" s="2" t="s">
        <v>154</v>
      </c>
      <c r="E33" s="2">
        <v>1</v>
      </c>
      <c r="F33" s="2">
        <v>1</v>
      </c>
      <c r="G33" s="2">
        <v>1</v>
      </c>
      <c r="H33" s="2">
        <v>1</v>
      </c>
      <c r="I33" s="4">
        <v>1</v>
      </c>
      <c r="J33" s="2">
        <v>1</v>
      </c>
      <c r="K33" s="2" t="b">
        <v>0</v>
      </c>
      <c r="L33" s="2">
        <v>3</v>
      </c>
      <c r="M33" s="2">
        <v>0</v>
      </c>
      <c r="N33" s="2">
        <v>0</v>
      </c>
    </row>
    <row r="34" spans="1:15" ht="409.5" x14ac:dyDescent="0.25">
      <c r="A34" s="2" t="s">
        <v>81</v>
      </c>
      <c r="B34" s="2" t="s">
        <v>63</v>
      </c>
      <c r="C34" s="2" t="s">
        <v>82</v>
      </c>
      <c r="D34" s="2" t="s">
        <v>155</v>
      </c>
      <c r="E34" s="2">
        <v>1</v>
      </c>
      <c r="F34" s="2">
        <v>1</v>
      </c>
      <c r="G34" s="2">
        <v>1</v>
      </c>
      <c r="H34" s="2">
        <v>1</v>
      </c>
      <c r="I34" s="4">
        <v>1</v>
      </c>
      <c r="J34" s="2">
        <v>1</v>
      </c>
      <c r="K34" s="2" t="b">
        <v>0</v>
      </c>
      <c r="L34" s="2">
        <v>3</v>
      </c>
      <c r="M34" s="2">
        <v>0</v>
      </c>
      <c r="N34" s="2">
        <v>0</v>
      </c>
    </row>
    <row r="35" spans="1:15" ht="406" x14ac:dyDescent="0.25">
      <c r="A35" s="2" t="s">
        <v>83</v>
      </c>
      <c r="B35" s="2" t="s">
        <v>63</v>
      </c>
      <c r="C35" s="2" t="s">
        <v>84</v>
      </c>
      <c r="D35" s="2" t="s">
        <v>156</v>
      </c>
      <c r="E35" s="2">
        <v>1</v>
      </c>
      <c r="F35" s="2">
        <v>1</v>
      </c>
      <c r="G35" s="2">
        <v>1</v>
      </c>
      <c r="H35" s="2">
        <v>1</v>
      </c>
      <c r="I35" s="4">
        <v>0.5</v>
      </c>
      <c r="J35" s="2">
        <v>0.66700000000000004</v>
      </c>
      <c r="K35" s="2" t="b">
        <v>0</v>
      </c>
      <c r="L35" s="2">
        <v>1</v>
      </c>
      <c r="M35" s="2">
        <v>0</v>
      </c>
      <c r="N35" s="2">
        <v>1</v>
      </c>
    </row>
    <row r="36" spans="1:15" ht="409.5" x14ac:dyDescent="0.25">
      <c r="A36" s="2" t="s">
        <v>85</v>
      </c>
      <c r="B36" s="2" t="s">
        <v>86</v>
      </c>
      <c r="C36" s="2" t="s">
        <v>87</v>
      </c>
      <c r="D36" s="2" t="s">
        <v>149</v>
      </c>
      <c r="E36" s="2">
        <v>1</v>
      </c>
      <c r="F36" s="2">
        <v>1</v>
      </c>
      <c r="G36" s="2">
        <v>1</v>
      </c>
      <c r="H36" s="2">
        <v>1</v>
      </c>
      <c r="I36" s="4">
        <v>1</v>
      </c>
      <c r="J36" s="2">
        <v>1</v>
      </c>
      <c r="K36" s="2" t="b">
        <v>0</v>
      </c>
      <c r="L36" s="2">
        <v>2</v>
      </c>
      <c r="M36" s="2">
        <v>0</v>
      </c>
      <c r="N36" s="2">
        <v>0</v>
      </c>
    </row>
    <row r="37" spans="1:15" ht="409.5" x14ac:dyDescent="0.25">
      <c r="A37" s="2" t="s">
        <v>88</v>
      </c>
      <c r="B37" s="2" t="s">
        <v>86</v>
      </c>
      <c r="C37" s="2" t="s">
        <v>89</v>
      </c>
      <c r="D37" s="2" t="s">
        <v>157</v>
      </c>
      <c r="E37" s="2">
        <v>0</v>
      </c>
      <c r="F37" s="2">
        <v>1</v>
      </c>
      <c r="G37" s="2">
        <v>1</v>
      </c>
      <c r="H37" s="2">
        <v>0.33333333333333331</v>
      </c>
      <c r="I37" s="4">
        <v>1</v>
      </c>
      <c r="J37" s="2">
        <v>1</v>
      </c>
      <c r="K37" s="2" t="b">
        <v>0</v>
      </c>
      <c r="L37" s="2">
        <v>2</v>
      </c>
      <c r="M37" s="2">
        <v>0</v>
      </c>
      <c r="N37" s="2">
        <v>0</v>
      </c>
    </row>
    <row r="38" spans="1:15" ht="409.5" x14ac:dyDescent="0.25">
      <c r="A38" s="2" t="s">
        <v>90</v>
      </c>
      <c r="B38" s="2" t="s">
        <v>86</v>
      </c>
      <c r="C38" s="2" t="s">
        <v>91</v>
      </c>
      <c r="D38" s="2" t="s">
        <v>158</v>
      </c>
      <c r="E38" s="2">
        <v>0</v>
      </c>
      <c r="F38" s="2">
        <v>0</v>
      </c>
      <c r="G38" s="2">
        <v>0</v>
      </c>
      <c r="H38" s="2">
        <v>0</v>
      </c>
      <c r="I38" s="4">
        <v>0.25</v>
      </c>
      <c r="J38" s="2">
        <v>0.85699999999999998</v>
      </c>
      <c r="K38" s="2" t="b">
        <v>0</v>
      </c>
      <c r="L38" s="2">
        <v>3</v>
      </c>
      <c r="M38" s="2">
        <v>0</v>
      </c>
      <c r="N38" s="2">
        <v>1</v>
      </c>
    </row>
    <row r="39" spans="1:15" s="5" customFormat="1" ht="409.5" x14ac:dyDescent="0.25">
      <c r="A39" s="5" t="s">
        <v>92</v>
      </c>
      <c r="B39" s="5" t="s">
        <v>86</v>
      </c>
      <c r="C39" s="5" t="s">
        <v>93</v>
      </c>
      <c r="D39" s="5" t="s">
        <v>124</v>
      </c>
      <c r="E39" s="5">
        <v>0</v>
      </c>
      <c r="F39" s="5">
        <v>0</v>
      </c>
      <c r="G39" s="5">
        <v>1</v>
      </c>
      <c r="H39" s="5">
        <v>0.2</v>
      </c>
      <c r="I39" s="5">
        <v>0</v>
      </c>
      <c r="J39" s="5">
        <v>0.66700000000000004</v>
      </c>
      <c r="K39" s="5" t="b">
        <v>0</v>
      </c>
      <c r="L39" s="5">
        <v>1</v>
      </c>
      <c r="M39" s="5">
        <v>0</v>
      </c>
      <c r="N39" s="5">
        <v>1</v>
      </c>
    </row>
    <row r="40" spans="1:15" ht="409.5" x14ac:dyDescent="0.25">
      <c r="A40" s="2" t="s">
        <v>94</v>
      </c>
      <c r="B40" s="2" t="s">
        <v>86</v>
      </c>
      <c r="C40" s="2" t="s">
        <v>95</v>
      </c>
      <c r="D40" s="2" t="s">
        <v>153</v>
      </c>
      <c r="E40" s="2">
        <v>1</v>
      </c>
      <c r="F40" s="2">
        <v>1</v>
      </c>
      <c r="G40" s="2">
        <v>1</v>
      </c>
      <c r="H40" s="2">
        <v>1</v>
      </c>
      <c r="I40" s="4">
        <v>0.75</v>
      </c>
      <c r="J40" s="2">
        <v>0.5</v>
      </c>
      <c r="K40" s="2" t="b">
        <v>0</v>
      </c>
      <c r="L40" s="2">
        <v>2</v>
      </c>
      <c r="M40" s="2">
        <v>0</v>
      </c>
      <c r="N40" s="2">
        <v>4</v>
      </c>
    </row>
    <row r="41" spans="1:15" ht="409.5" x14ac:dyDescent="0.25">
      <c r="A41" s="2" t="s">
        <v>96</v>
      </c>
      <c r="B41" s="2" t="s">
        <v>86</v>
      </c>
      <c r="C41" s="2" t="s">
        <v>97</v>
      </c>
      <c r="D41" s="2" t="s">
        <v>159</v>
      </c>
      <c r="E41" s="2">
        <v>1</v>
      </c>
      <c r="F41" s="2">
        <v>1</v>
      </c>
      <c r="G41" s="2">
        <v>1</v>
      </c>
      <c r="H41" s="2">
        <v>1</v>
      </c>
      <c r="I41" s="4">
        <v>1</v>
      </c>
      <c r="J41" s="2">
        <v>0.8</v>
      </c>
      <c r="K41" s="2" t="b">
        <v>0</v>
      </c>
      <c r="L41" s="2">
        <v>2</v>
      </c>
      <c r="M41" s="2">
        <v>0</v>
      </c>
      <c r="N41" s="2">
        <v>1</v>
      </c>
    </row>
    <row r="42" spans="1:15" ht="409.5" x14ac:dyDescent="0.25">
      <c r="A42" s="2" t="s">
        <v>98</v>
      </c>
      <c r="B42" s="2" t="s">
        <v>86</v>
      </c>
      <c r="C42" s="2" t="s">
        <v>99</v>
      </c>
      <c r="D42" s="2" t="s">
        <v>160</v>
      </c>
      <c r="E42" s="2">
        <v>0</v>
      </c>
      <c r="F42" s="2">
        <v>0</v>
      </c>
      <c r="G42" s="2">
        <v>1</v>
      </c>
      <c r="H42" s="2">
        <v>0.25</v>
      </c>
      <c r="I42" s="4">
        <v>0.5</v>
      </c>
      <c r="J42" s="2">
        <v>0.8</v>
      </c>
      <c r="K42" s="2" t="b">
        <v>0</v>
      </c>
      <c r="L42" s="2">
        <v>4</v>
      </c>
      <c r="M42" s="2">
        <v>0</v>
      </c>
      <c r="N42" s="2">
        <v>2</v>
      </c>
    </row>
    <row r="43" spans="1:15" ht="409.5" x14ac:dyDescent="0.25">
      <c r="A43" s="2" t="s">
        <v>100</v>
      </c>
      <c r="B43" s="2" t="s">
        <v>86</v>
      </c>
      <c r="C43" s="2" t="s">
        <v>101</v>
      </c>
      <c r="D43" s="2" t="s">
        <v>144</v>
      </c>
      <c r="E43" s="2">
        <v>1</v>
      </c>
      <c r="F43" s="2">
        <v>1</v>
      </c>
      <c r="G43" s="2">
        <v>1</v>
      </c>
      <c r="H43" s="2">
        <v>1</v>
      </c>
      <c r="I43" s="4">
        <v>0.25</v>
      </c>
      <c r="J43" s="2">
        <v>0.8</v>
      </c>
      <c r="K43" s="2" t="b">
        <v>0</v>
      </c>
      <c r="L43" s="2">
        <v>2</v>
      </c>
      <c r="M43" s="2">
        <v>1</v>
      </c>
      <c r="N43" s="2">
        <v>0</v>
      </c>
    </row>
    <row r="44" spans="1:15" ht="42" x14ac:dyDescent="0.25">
      <c r="A44" s="2" t="s">
        <v>102</v>
      </c>
      <c r="B44" s="2" t="s">
        <v>103</v>
      </c>
      <c r="C44" s="2" t="s">
        <v>104</v>
      </c>
      <c r="D44" s="2" t="s">
        <v>105</v>
      </c>
      <c r="J44" s="2">
        <v>1</v>
      </c>
      <c r="K44" s="2" t="b">
        <v>1</v>
      </c>
      <c r="L44" s="2">
        <v>1</v>
      </c>
      <c r="M44" s="2">
        <v>0</v>
      </c>
      <c r="N44" s="2">
        <v>0</v>
      </c>
      <c r="O44" s="2" t="b">
        <v>1</v>
      </c>
    </row>
    <row r="45" spans="1:15" ht="56" x14ac:dyDescent="0.25">
      <c r="A45" s="2" t="s">
        <v>106</v>
      </c>
      <c r="B45" s="2" t="s">
        <v>103</v>
      </c>
      <c r="C45" s="2" t="s">
        <v>104</v>
      </c>
      <c r="D45" s="2" t="s">
        <v>105</v>
      </c>
      <c r="J45" s="2">
        <v>1</v>
      </c>
      <c r="K45" s="2" t="b">
        <v>1</v>
      </c>
      <c r="L45" s="2">
        <v>1</v>
      </c>
      <c r="M45" s="2">
        <v>0</v>
      </c>
      <c r="N45" s="2">
        <v>0</v>
      </c>
      <c r="O45" s="2" t="b">
        <v>1</v>
      </c>
    </row>
    <row r="46" spans="1:15" ht="42" x14ac:dyDescent="0.25">
      <c r="A46" s="2" t="s">
        <v>107</v>
      </c>
      <c r="B46" s="2" t="s">
        <v>103</v>
      </c>
      <c r="C46" s="2" t="s">
        <v>104</v>
      </c>
      <c r="D46" s="2" t="s">
        <v>105</v>
      </c>
      <c r="J46" s="2">
        <v>1</v>
      </c>
      <c r="K46" s="2" t="b">
        <v>1</v>
      </c>
      <c r="L46" s="2">
        <v>1</v>
      </c>
      <c r="M46" s="2">
        <v>0</v>
      </c>
      <c r="N46" s="2">
        <v>0</v>
      </c>
      <c r="O46" s="2" t="b">
        <v>1</v>
      </c>
    </row>
    <row r="47" spans="1:15" ht="84" x14ac:dyDescent="0.25">
      <c r="A47" s="2" t="s">
        <v>108</v>
      </c>
      <c r="B47" s="2" t="s">
        <v>103</v>
      </c>
      <c r="C47" s="2" t="s">
        <v>104</v>
      </c>
      <c r="D47" s="2" t="s">
        <v>105</v>
      </c>
      <c r="J47" s="2">
        <v>1</v>
      </c>
      <c r="K47" s="2" t="b">
        <v>1</v>
      </c>
      <c r="L47" s="2">
        <v>1</v>
      </c>
      <c r="M47" s="2">
        <v>0</v>
      </c>
      <c r="N47" s="2">
        <v>0</v>
      </c>
      <c r="O47" s="2" t="b">
        <v>1</v>
      </c>
    </row>
    <row r="48" spans="1:15" ht="42" x14ac:dyDescent="0.25">
      <c r="A48" s="2" t="s">
        <v>109</v>
      </c>
      <c r="B48" s="2" t="s">
        <v>103</v>
      </c>
      <c r="C48" s="2" t="s">
        <v>104</v>
      </c>
      <c r="D48" s="2" t="s">
        <v>105</v>
      </c>
      <c r="J48" s="2">
        <v>1</v>
      </c>
      <c r="K48" s="2" t="b">
        <v>1</v>
      </c>
      <c r="L48" s="2">
        <v>1</v>
      </c>
      <c r="M48" s="2">
        <v>0</v>
      </c>
      <c r="N48" s="2">
        <v>0</v>
      </c>
      <c r="O48" s="2" t="b">
        <v>1</v>
      </c>
    </row>
    <row r="49" spans="1:15" ht="42" x14ac:dyDescent="0.25">
      <c r="A49" s="2" t="s">
        <v>110</v>
      </c>
      <c r="B49" s="2" t="s">
        <v>103</v>
      </c>
      <c r="C49" s="2" t="s">
        <v>104</v>
      </c>
      <c r="D49" s="2" t="s">
        <v>105</v>
      </c>
      <c r="J49" s="2">
        <v>1</v>
      </c>
      <c r="K49" s="2" t="b">
        <v>1</v>
      </c>
      <c r="L49" s="2">
        <v>1</v>
      </c>
      <c r="M49" s="2">
        <v>0</v>
      </c>
      <c r="N49" s="2">
        <v>0</v>
      </c>
      <c r="O49" s="2" t="b">
        <v>1</v>
      </c>
    </row>
    <row r="50" spans="1:15" ht="56" x14ac:dyDescent="0.25">
      <c r="A50" s="2" t="s">
        <v>111</v>
      </c>
      <c r="B50" s="2" t="s">
        <v>103</v>
      </c>
      <c r="C50" s="2" t="s">
        <v>104</v>
      </c>
      <c r="D50" s="2" t="s">
        <v>105</v>
      </c>
      <c r="J50" s="2">
        <v>1</v>
      </c>
      <c r="K50" s="2" t="b">
        <v>1</v>
      </c>
      <c r="L50" s="2">
        <v>1</v>
      </c>
      <c r="M50" s="2">
        <v>0</v>
      </c>
      <c r="N50" s="2">
        <v>0</v>
      </c>
      <c r="O50" s="2" t="b">
        <v>1</v>
      </c>
    </row>
    <row r="51" spans="1:15" ht="56" x14ac:dyDescent="0.25">
      <c r="A51" s="2" t="s">
        <v>112</v>
      </c>
      <c r="B51" s="2" t="s">
        <v>103</v>
      </c>
      <c r="C51" s="2" t="s">
        <v>104</v>
      </c>
      <c r="D51" s="2" t="s">
        <v>105</v>
      </c>
      <c r="J51" s="2">
        <v>1</v>
      </c>
      <c r="K51" s="2" t="b">
        <v>1</v>
      </c>
      <c r="L51" s="2">
        <v>1</v>
      </c>
      <c r="M51" s="2">
        <v>0</v>
      </c>
      <c r="N51" s="2">
        <v>0</v>
      </c>
      <c r="O51" s="2" t="b">
        <v>1</v>
      </c>
    </row>
    <row r="53" spans="1:15" x14ac:dyDescent="0.25">
      <c r="A53" s="2" t="s">
        <v>113</v>
      </c>
      <c r="E53" s="2">
        <f>AVERAGEIFS(E2:E51,K2:K51,FALSE)</f>
        <v>0.80952380952380953</v>
      </c>
      <c r="F53" s="2">
        <f>AVERAGEIFS(F2:F51,K2:K51,FALSE)</f>
        <v>0.9285714285714286</v>
      </c>
      <c r="G53" s="2">
        <f>AVERAGEIFS(G2:G51,K2:K51,FALSE)</f>
        <v>0.97619047619047616</v>
      </c>
      <c r="H53" s="2">
        <f>AVERAGEIFS(H2:H51,K2:K51,FALSE)</f>
        <v>0.85992063492063509</v>
      </c>
      <c r="I53" s="4">
        <f>AVERAGEIFS(I2:I51,K2:K51,FALSE)</f>
        <v>0.85516666666666674</v>
      </c>
      <c r="J53" s="2">
        <f>AVERAGE(J2:J51)</f>
        <v>0.92165999999999992</v>
      </c>
      <c r="L53" s="2">
        <f>AVERAGE(L2:L51)</f>
        <v>1.96</v>
      </c>
      <c r="M53" s="2">
        <f>AVERAGE(M2:M51)</f>
        <v>0.02</v>
      </c>
      <c r="N53" s="2">
        <f>AVERAGE(N2:N51)</f>
        <v>0.36</v>
      </c>
    </row>
    <row r="54" spans="1:15" x14ac:dyDescent="0.25">
      <c r="A54" s="2" t="s">
        <v>114</v>
      </c>
      <c r="B54" s="2" t="s">
        <v>16</v>
      </c>
      <c r="E54" s="2">
        <f>AVERAGEIFS(E2:E51,B2:B51,"定义类",K2:K51,FALSE)</f>
        <v>0.83333333333333337</v>
      </c>
      <c r="F54" s="2">
        <f>AVERAGEIFS(F2:F51,B2:B51,"定义类",K2:K51,FALSE)</f>
        <v>1</v>
      </c>
      <c r="G54" s="2">
        <f>AVERAGEIFS(G2:G51,B2:B51,"定义类",K2:K51,FALSE)</f>
        <v>1</v>
      </c>
      <c r="H54" s="2">
        <f>AVERAGEIFS(H2:H51,B2:B51,"定义类",K2:K51,FALSE)</f>
        <v>0.88888888888888884</v>
      </c>
      <c r="I54" s="4">
        <f>AVERAGEIFS(I2:I51,B2:B51,"定义类",K2:K51,FALSE)</f>
        <v>0.95833333333333337</v>
      </c>
      <c r="J54" s="2">
        <f>AVERAGEIF(B2:B51,"定义类",J2:J51)</f>
        <v>0.90483333333333327</v>
      </c>
      <c r="L54" s="2">
        <f>AVERAGEIF(B2:B51,"定义类",L2:L51)</f>
        <v>2.0833333333333335</v>
      </c>
      <c r="M54" s="2">
        <f>AVERAGEIF(B2:B51,"定义类",M2:M51)</f>
        <v>0</v>
      </c>
      <c r="N54" s="2">
        <f>AVERAGEIF(B2:B51,"定义类",N2:N51)</f>
        <v>0.41666666666666669</v>
      </c>
    </row>
    <row r="55" spans="1:15" ht="28" x14ac:dyDescent="0.25">
      <c r="A55" s="2" t="s">
        <v>115</v>
      </c>
      <c r="B55" s="2" t="s">
        <v>41</v>
      </c>
      <c r="E55" s="2">
        <f>AVERAGEIFS(E2:E51,B2:B51,"方法细节类",K2:K51,FALSE)</f>
        <v>0.81818181818181823</v>
      </c>
      <c r="F55" s="2">
        <f>AVERAGEIFS(F2:F51,B2:B51,"方法细节类",K2:K51,FALSE)</f>
        <v>1</v>
      </c>
      <c r="G55" s="2">
        <f>AVERAGEIFS(G2:G51,B2:B51,"方法细节类",K2:K51,FALSE)</f>
        <v>1</v>
      </c>
      <c r="H55" s="2">
        <f>AVERAGEIFS(H2:H51,B2:B51,"方法细节类",K2:K51,FALSE)</f>
        <v>0.8787878787878789</v>
      </c>
      <c r="I55" s="4">
        <f>AVERAGEIFS(I2:I51,B2:B51,"方法细节类",K2:K51,FALSE)</f>
        <v>0.87881818181818183</v>
      </c>
      <c r="J55" s="2">
        <f>AVERAGEIF(B2:B51,"方法细节类",J2:J51)</f>
        <v>0.95154545454545458</v>
      </c>
      <c r="L55" s="2">
        <f>AVERAGEIF(B2:B51,"方法细节类",L2:L51)</f>
        <v>2.2727272727272729</v>
      </c>
      <c r="M55" s="2">
        <f>AVERAGEIF(B2:B51,"方法细节类",M2:M51)</f>
        <v>0</v>
      </c>
      <c r="N55" s="2">
        <f>AVERAGEIF(B2:B51,"方法细节类",N2:N51)</f>
        <v>0.18181818181818182</v>
      </c>
    </row>
    <row r="56" spans="1:15" ht="28" x14ac:dyDescent="0.25">
      <c r="A56" s="2" t="s">
        <v>116</v>
      </c>
      <c r="B56" s="2" t="s">
        <v>63</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0.90909090909090906</v>
      </c>
      <c r="J56" s="2">
        <f>AVERAGEIF(B2:B51,"实验结果类",J2:J51)</f>
        <v>0.93945454545454543</v>
      </c>
      <c r="L56" s="2">
        <f>AVERAGEIF(B2:B51,"实验结果类",L2:L51)</f>
        <v>2</v>
      </c>
      <c r="M56" s="2">
        <f>AVERAGEIF(B2:B51,"实验结果类",M2:M51)</f>
        <v>0</v>
      </c>
      <c r="N56" s="2">
        <f>AVERAGEIF(B2:B51,"实验结果类",N2:N51)</f>
        <v>0.18181818181818182</v>
      </c>
    </row>
    <row r="57" spans="1:15" ht="28" x14ac:dyDescent="0.25">
      <c r="A57" s="2" t="s">
        <v>117</v>
      </c>
      <c r="B57" s="2" t="s">
        <v>86</v>
      </c>
      <c r="E57" s="2">
        <f>AVERAGEIFS(E2:E51,B2:B51,"跨论文比较类",K2:K51,FALSE)</f>
        <v>0.5</v>
      </c>
      <c r="F57" s="2">
        <f>AVERAGEIFS(F2:F51,B2:B51,"跨论文比较类",K2:K51,FALSE)</f>
        <v>0.625</v>
      </c>
      <c r="G57" s="2">
        <f>AVERAGEIFS(G2:G51,B2:B51,"跨论文比较类",K2:K51,FALSE)</f>
        <v>0.875</v>
      </c>
      <c r="H57" s="2">
        <f>AVERAGEIFS(H2:H51,B2:B51,"跨论文比较类",K2:K51,FALSE)</f>
        <v>0.59791666666666665</v>
      </c>
      <c r="I57" s="4">
        <f>AVERAGEIFS(I2:I51,B2:B51,"跨论文比较类",K2:K51,FALSE)</f>
        <v>0.59375</v>
      </c>
      <c r="J57" s="2">
        <f>AVERAGEIF(B2:B51,"跨论文比较类",J2:J51)</f>
        <v>0.80299999999999994</v>
      </c>
      <c r="L57" s="2">
        <f>AVERAGEIF(B2:B51,"跨论文比较类",L2:L51)</f>
        <v>2.25</v>
      </c>
      <c r="M57" s="2">
        <f>AVERAGEIF(B2:B51,"跨论文比较类",M2:M51)</f>
        <v>0.125</v>
      </c>
      <c r="N57" s="2">
        <f>AVERAGEIF(B2:B51,"跨论文比较类",N2:N51)</f>
        <v>1.125</v>
      </c>
    </row>
    <row r="58" spans="1:15" ht="28" x14ac:dyDescent="0.25">
      <c r="A58" s="2" t="s">
        <v>118</v>
      </c>
      <c r="B58" s="2" t="s">
        <v>103</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2026-06-03T15:37:51Z</dcterms:created>
  <dcterms:modified xsi:type="dcterms:W3CDTF">2026-06-10T13:28:48Z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6431a238-23c4-41c1-99de-c04ac83f4d1d</vt:lpwstr>
  </property>
</Properties>
</file>