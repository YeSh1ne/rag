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
  <sheetViews>
    <sheetView workbookViewId="0">
      <selection activeCell="A1" sqref="A1"/>
    </sheetView>
  </sheetViews>
  <sheetFormatPr baseColWidth="8" defaultRowHeight="15"/>
  <sheetData>
    <row r="1">
      <c r="A1" s="1" t="inlineStr">
        <is>
          <t>question</t>
        </is>
      </c>
      <c r="B1" s="1" t="inlineStr">
        <is>
          <t>question_type</t>
        </is>
      </c>
      <c r="C1" s="1" t="inlineStr">
        <is>
          <t>gold_answer</t>
        </is>
      </c>
      <c r="D1" s="1" t="inlineStr">
        <is>
          <t>predicted_answer</t>
        </is>
      </c>
      <c r="E1" s="1" t="inlineStr">
        <is>
          <t>recall_at_1</t>
        </is>
      </c>
      <c r="F1" s="1" t="inlineStr">
        <is>
          <t>recall_at_3</t>
        </is>
      </c>
      <c r="G1" s="1" t="inlineStr">
        <is>
          <t>recall_at_5</t>
        </is>
      </c>
      <c r="H1" s="1" t="inlineStr">
        <is>
          <t>mrr</t>
        </is>
      </c>
      <c r="I1" s="1" t="inlineStr">
        <is>
          <t>citation_accuracy</t>
        </is>
      </c>
      <c r="J1" s="1" t="inlineStr">
        <is>
          <t>answer_correctness</t>
        </is>
      </c>
      <c r="K1" s="1" t="inlineStr">
        <is>
          <t>is_unanswerable</t>
        </is>
      </c>
      <c r="L1" s="1" t="inlineStr">
        <is>
          <t>tp</t>
        </is>
      </c>
      <c r="M1" s="1" t="inlineStr">
        <is>
          <t>fp</t>
        </is>
      </c>
      <c r="N1" s="1" t="inlineStr">
        <is>
          <t>fn</t>
        </is>
      </c>
      <c r="O1" s="1" t="inlineStr">
        <is>
          <t>is_correct_refusal</t>
        </is>
      </c>
    </row>
    <row r="2">
      <c r="A2" t="inlineStr">
        <is>
          <t>在论文"A Survey of Post-Training Scaling in Large Language Models"中，作者将post-training scaling分为哪三个主要方法？</t>
        </is>
      </c>
      <c r="B2" t="inlineStr">
        <is>
          <t>定义类</t>
        </is>
      </c>
      <c r="C2" t="inlineStr">
        <is>
          <t>作者将post-training scaling分为三个主要方法：Supervised Fine-tuning (SFT), Reinforcement Learning (RLxF), and Test-time Compute (TTC).</t>
        </is>
      </c>
      <c r="D2" t="inlineStr">
        <is>
          <t>作者将post-training scaling分为三个主要方法：监督微调（Supervised Fine-tuning, SFT）、强化学习（Reinforcement Learning, RL）和测试时计算（Test-time Compute, TTC）。
来自: [2025.acl-long.140_A Survey of Post-Training Scaling in Large Language Models, 第2页, 2025.acl-long.140_A Survey of Post-Training Scaling in Large Language Models_chunk_008]</t>
        </is>
      </c>
      <c r="E2" t="n">
        <v>1</v>
      </c>
      <c r="F2" t="n">
        <v>1</v>
      </c>
      <c r="G2" t="n">
        <v>1</v>
      </c>
      <c r="H2" t="n">
        <v>1</v>
      </c>
      <c r="I2" t="n">
        <v>1</v>
      </c>
      <c r="J2" t="n">
        <v>1</v>
      </c>
      <c r="K2" t="b">
        <v>0</v>
      </c>
      <c r="L2" t="n">
        <v>3</v>
      </c>
      <c r="M2" t="n">
        <v>0</v>
      </c>
      <c r="N2" t="n">
        <v>0</v>
      </c>
    </row>
    <row r="3">
      <c r="A3" t="inlineStr">
        <is>
          <t>在SafeRAG中"silver noise"的定义是什么？</t>
        </is>
      </c>
      <c r="B3" t="inlineStr">
        <is>
          <t>定义类</t>
        </is>
      </c>
      <c r="C3" t="inlineStr">
        <is>
          <t>首先，我们定义了“银色噪声”，它指的是仅部分包含答案的证据文本。此类噪声能够绕过大多数安全过滤机制，从而削弱 RAG 的多样性。</t>
        </is>
      </c>
      <c r="D3" t="inlineStr">
        <is>
          <t>Silver noise 指的是部分包含答案的证据。
来自: [2025.acl-long.230_SafeRAG, 第2页, 2025.acl-long.230_SafeRAG_chunk_007]</t>
        </is>
      </c>
      <c r="E3" t="n">
        <v>1</v>
      </c>
      <c r="F3" t="n">
        <v>1</v>
      </c>
      <c r="G3" t="n">
        <v>1</v>
      </c>
      <c r="H3" t="n">
        <v>1</v>
      </c>
      <c r="I3" t="n">
        <v>1</v>
      </c>
      <c r="J3" t="n">
        <v>1</v>
      </c>
      <c r="K3" t="b">
        <v>0</v>
      </c>
      <c r="L3" t="n">
        <v>1</v>
      </c>
      <c r="M3" t="n">
        <v>0</v>
      </c>
      <c r="N3" t="n">
        <v>0</v>
      </c>
    </row>
    <row r="4">
      <c r="A4" t="inlineStr">
        <is>
          <t>RAG噪声被分为哪两类？</t>
        </is>
      </c>
      <c r="B4" t="inlineStr">
        <is>
          <t>定义类</t>
        </is>
      </c>
      <c r="C4" t="inlineStr">
        <is>
          <t>RAG噪声被分为有益噪声和有害噪声。</t>
        </is>
      </c>
      <c r="D4" t="inlineStr">
        <is>
          <t>RAG噪声被分为有益噪声（beneficial noise）和有害噪声（harmful noise）两类。
来自: [2025.acl-long.250_Pandora s Box or Aladdin s Lamp, 第2页, 2025.acl-long.250_Pandora s Box or Aladdin s Lamp_chunk_006]</t>
        </is>
      </c>
      <c r="E4" t="n">
        <v>1</v>
      </c>
      <c r="F4" t="n">
        <v>1</v>
      </c>
      <c r="G4" t="n">
        <v>1</v>
      </c>
      <c r="H4" t="n">
        <v>1</v>
      </c>
      <c r="I4" t="n">
        <v>1</v>
      </c>
      <c r="J4" t="n">
        <v>1</v>
      </c>
      <c r="K4" t="b">
        <v>0</v>
      </c>
      <c r="L4" t="n">
        <v>1</v>
      </c>
      <c r="M4" t="n">
        <v>0</v>
      </c>
      <c r="N4" t="n">
        <v>0</v>
      </c>
    </row>
    <row r="5">
      <c r="A5" t="inlineStr">
        <is>
          <t>什么是Ref-Long基准？它评估的是长上下文语言模型的什么能力？</t>
        </is>
      </c>
      <c r="B5" t="inlineStr">
        <is>
          <t>定义类</t>
        </is>
      </c>
      <c r="C5" t="inlineStr">
        <is>
          <t>Ref-Long是一个专门设计用于评估长上下文语言模型（LCLMs）长上下文引用能力的基准。它要求LCLMs不仅要在给定文档中识别特定关键词，还要找出引用该关键词的文档索引，而不是其他相关但不匹配的文档。</t>
        </is>
      </c>
      <c r="D5" t="inlineStr">
        <is>
          <t>Ref-Long基准是一个专门设计用于评估长上下文语言模型（LCLMs）长上下文引用能力的新基准。
来自: [2025.acl-long.1162_Ref-Long, 第2页, 2025.acl-long.1162_Ref-Long_chunk_005]</t>
        </is>
      </c>
      <c r="E5" t="n">
        <v>1</v>
      </c>
      <c r="F5" t="n">
        <v>1</v>
      </c>
      <c r="G5" t="n">
        <v>1</v>
      </c>
      <c r="H5" t="n">
        <v>1</v>
      </c>
      <c r="I5" t="n">
        <v>1</v>
      </c>
      <c r="J5" t="n">
        <v>0.667</v>
      </c>
      <c r="K5" t="b">
        <v>0</v>
      </c>
      <c r="L5" t="n">
        <v>1</v>
      </c>
      <c r="M5" t="n">
        <v>0</v>
      </c>
      <c r="N5" t="n">
        <v>1</v>
      </c>
    </row>
    <row r="6">
      <c r="A6" t="inlineStr">
        <is>
          <t xml:space="preserve"> 什么是SYNQA方法？</t>
        </is>
      </c>
      <c r="B6" t="inlineStr">
        <is>
          <t>定义类</t>
        </is>
      </c>
      <c r="C6" t="inlineStr">
        <is>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is>
      </c>
      <c r="D6" t="inlineStr">
        <is>
          <t>SYNQA是一种生成式方法，通过给定选定的上下文句子，让LLM生成完全由这些句子支持的问答对，从而合成上下文归因数据。
来自: [2025.acl-long.828_On Synthesizing Data for Context Attribution in Question Answering, 第2页, 2025.acl-long.828_On Synthesizing Data for Context Attribution in Question Answering_chunk_009]</t>
        </is>
      </c>
      <c r="E6" t="n">
        <v>1</v>
      </c>
      <c r="F6" t="n">
        <v>1</v>
      </c>
      <c r="G6" t="n">
        <v>1</v>
      </c>
      <c r="H6" t="n">
        <v>1</v>
      </c>
      <c r="I6" t="n">
        <v>1</v>
      </c>
      <c r="J6" t="n">
        <v>0.857</v>
      </c>
      <c r="K6" t="b">
        <v>0</v>
      </c>
      <c r="L6" t="n">
        <v>3</v>
      </c>
      <c r="M6" t="n">
        <v>0</v>
      </c>
      <c r="N6" t="n">
        <v>1</v>
      </c>
    </row>
    <row r="7">
      <c r="A7" t="inlineStr">
        <is>
          <t>什么是Agentic Long-Context Understanding (AgenticLU)框架？</t>
        </is>
      </c>
      <c r="B7" t="inlineStr">
        <is>
          <t>定义类</t>
        </is>
      </c>
      <c r="C7" t="inlineStr">
        <is>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is>
      </c>
      <c r="D7" t="inlineStr">
        <is>
          <t>AgenticLU是一个通过将目标自澄清与上下文基础整合到智能体工作流中，来增强大语言模型对复杂长上下文查询理解的框架。
来自: [2025.acl-long.275_Self-Taught Agentic Long Context Understanding, 第1页, 2025.acl-long.275_Self-Taught Agentic Long Context Understanding_chunk_001]</t>
        </is>
      </c>
      <c r="E7" t="n">
        <v>1</v>
      </c>
      <c r="F7" t="n">
        <v>1</v>
      </c>
      <c r="G7" t="n">
        <v>1</v>
      </c>
      <c r="H7" t="n">
        <v>1</v>
      </c>
      <c r="I7" t="n">
        <v>1</v>
      </c>
      <c r="J7" t="n">
        <v>0.8</v>
      </c>
      <c r="K7" t="b">
        <v>0</v>
      </c>
      <c r="L7" t="n">
        <v>2</v>
      </c>
      <c r="M7" t="n">
        <v>0</v>
      </c>
      <c r="N7" t="n">
        <v>1</v>
      </c>
    </row>
    <row r="8">
      <c r="A8" t="inlineStr">
        <is>
          <t>什么是Agentic Reasoning框架?</t>
        </is>
      </c>
      <c r="B8" t="inlineStr">
        <is>
          <t>定义类</t>
        </is>
      </c>
      <c r="C8" t="inlineStr">
        <is>
          <t>Agentic Reasoning是一个通过集成外部工具使用代理来增强大型语言模型推理的框架。</t>
        </is>
      </c>
      <c r="D8" t="inlineStr">
        <is>
          <t>Agentic Reasoning是一个通过集成外部基于LLM的智能体作为工具来增强推理的框架。
来自: [2025.acl-long.1383_Agentic Reasoning, 第2页, 2025.acl-long.1383_Agentic Reasoning_chunk_008]</t>
        </is>
      </c>
      <c r="E8" t="n">
        <v>1</v>
      </c>
      <c r="F8" t="n">
        <v>1</v>
      </c>
      <c r="G8" t="n">
        <v>1</v>
      </c>
      <c r="H8" t="n">
        <v>1</v>
      </c>
      <c r="I8" t="n">
        <v>1</v>
      </c>
      <c r="J8" t="n">
        <v>1</v>
      </c>
      <c r="K8" t="b">
        <v>0</v>
      </c>
      <c r="L8" t="n">
        <v>1</v>
      </c>
      <c r="M8" t="n">
        <v>0</v>
      </c>
      <c r="N8" t="n">
        <v>0</v>
      </c>
    </row>
    <row r="9">
      <c r="A9" t="inlineStr">
        <is>
          <t>REAL-MM-RAG 基准测试旨在解决现实世界检索的四个关键属性是什么？</t>
        </is>
      </c>
      <c r="B9" t="inlineStr">
        <is>
          <t>定义类</t>
        </is>
      </c>
      <c r="C9" t="inlineStr">
        <is>
          <t xml:space="preserve"> REAL-MM-RAG基准测试的四个关键属性是：(i) 多模态文档，(ii) 增强的难度，(iii) 真实的RAG查询，(iv) 准确的标注。</t>
        </is>
      </c>
      <c r="D9" t="inlineStr">
        <is>
          <t>REAL-MM-RAG 基准测试旨在解决的四个关键属性是：(i) 多模态文档（包含文本、图表、表格等视觉元素）；(ii) 增强难度（查询需要超越简单关键词匹配，在上下文相似的页面中进行挑战性评估）；(iii) 真实 RAG 查询（问题以自然方式提出，不显式引用页面，反映真实用户意图）；(iv) 准确标注（所有与查询相关的文档必须被正确且穷尽地标注，以避免低估检索性能并防止假阴性）。
来自: [2025.acl-long.1528_REAL-MM-RAG, 第1页, 2025.acl-long.1528_REAL-MM-RAG_chunk_003]</t>
        </is>
      </c>
      <c r="E9" t="n">
        <v>1</v>
      </c>
      <c r="F9" t="n">
        <v>1</v>
      </c>
      <c r="G9" t="n">
        <v>1</v>
      </c>
      <c r="H9" t="n">
        <v>1</v>
      </c>
      <c r="I9" t="n">
        <v>1</v>
      </c>
      <c r="J9" t="n">
        <v>1</v>
      </c>
      <c r="K9" t="b">
        <v>0</v>
      </c>
      <c r="L9" t="n">
        <v>4</v>
      </c>
      <c r="M9" t="n">
        <v>0</v>
      </c>
      <c r="N9" t="n">
        <v>0</v>
      </c>
    </row>
    <row r="10">
      <c r="A10" t="inlineStr">
        <is>
          <t>ASTUTE RAG的定义是什么？有什么用?</t>
        </is>
      </c>
      <c r="B10" t="inlineStr">
        <is>
          <t>定义类</t>
        </is>
      </c>
      <c r="C10" t="inlineStr">
        <is>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is>
      </c>
      <c r="D10" t="inlineStr">
        <is>
          <t>ASTUTE RAG是一种通过自适应提取LLM内部知识、迭代整合内外部知识并基于信息可靠性确定最终答案，以增强对不完美检索鲁棒性的RAG方法。它用于解决知识冲突，提高RAG系统在检索不可靠时的可靠性和性能。
来自: [2025.acl-long.1476_Astute RAG, 第5页, 2025.acl-long.1476_Astute RAG_chunk_019] 和 [2025.acl-long.1476_Astute RAG, 第2页, 2025.acl-long.1476_Astute RAG_chunk_007]</t>
        </is>
      </c>
      <c r="E10" t="n">
        <v>1</v>
      </c>
      <c r="F10" t="n">
        <v>1</v>
      </c>
      <c r="G10" t="n">
        <v>1</v>
      </c>
      <c r="H10" t="n">
        <v>1</v>
      </c>
      <c r="I10" t="n">
        <v>1</v>
      </c>
      <c r="J10" t="n">
        <v>1</v>
      </c>
      <c r="K10" t="b">
        <v>0</v>
      </c>
      <c r="L10" t="n">
        <v>3</v>
      </c>
      <c r="M10" t="n">
        <v>0</v>
      </c>
      <c r="N10" t="n">
        <v>0</v>
      </c>
    </row>
    <row r="11">
      <c r="A11" t="inlineStr">
        <is>
          <t>L-CiteEval的定义是什么？</t>
        </is>
      </c>
      <c r="B11" t="inlineStr">
        <is>
          <t>定义类</t>
        </is>
      </c>
      <c r="C11" t="inlineStr">
        <is>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is>
      </c>
      <c r="D11" t="inlineStr">
        <is>
          <t>L-CiteEval是一个开箱即用的评估套件，包含多任务长上下文基准和相应的评估流水线。
来自: [2025.acl-long.263_L-CiteEval, 第8页, 2025.acl-long.263_L-CiteEval_chunk_056]</t>
        </is>
      </c>
      <c r="E11" t="n">
        <v>1</v>
      </c>
      <c r="F11" t="n">
        <v>1</v>
      </c>
      <c r="G11" t="n">
        <v>1</v>
      </c>
      <c r="H11" t="n">
        <v>1</v>
      </c>
      <c r="I11" t="n">
        <v>1</v>
      </c>
      <c r="J11" t="n">
        <v>0.667</v>
      </c>
      <c r="K11" t="b">
        <v>0</v>
      </c>
      <c r="L11" t="n">
        <v>2</v>
      </c>
      <c r="M11" t="n">
        <v>0</v>
      </c>
      <c r="N11" t="n">
        <v>2</v>
      </c>
    </row>
    <row r="12">
      <c r="A12" t="inlineStr">
        <is>
          <t xml:space="preserve"> LongBench v2基准测试包含多少个问题？上下文长度范围是多少？</t>
        </is>
      </c>
      <c r="B12" t="inlineStr">
        <is>
          <t>定义类</t>
        </is>
      </c>
      <c r="C12" t="inlineStr">
        <is>
          <t>LongBench v2包含503个具有挑战性的多项选择题，上下文长度范围从8,000到200万个单词。</t>
        </is>
      </c>
      <c r="D12" t="inlineStr">
        <is>
          <t>LongBench v2 包含 503 个多项选择题，上下文长度范围从 8k 到 2M 词。
来自: [2025.acl-long.183_LongBench v2, 第1页, 2025.acl-long.183_LongBench v2_chunk_004]</t>
        </is>
      </c>
      <c r="E12" t="n">
        <v>1</v>
      </c>
      <c r="F12" t="n">
        <v>1</v>
      </c>
      <c r="G12" t="n">
        <v>1</v>
      </c>
      <c r="H12" t="n">
        <v>1</v>
      </c>
      <c r="I12" t="n">
        <v>1</v>
      </c>
      <c r="J12" t="n">
        <v>1</v>
      </c>
      <c r="K12" t="b">
        <v>0</v>
      </c>
      <c r="L12" t="n">
        <v>2</v>
      </c>
      <c r="M12" t="n">
        <v>0</v>
      </c>
      <c r="N12" t="n">
        <v>0</v>
      </c>
    </row>
    <row r="13">
      <c r="A13" t="inlineStr">
        <is>
          <t>RHIO框架的三个主要组成部分是什么？</t>
        </is>
      </c>
      <c r="B13" t="inlineStr">
        <is>
          <t>定义类</t>
        </is>
      </c>
      <c r="C13" t="inlineStr">
        <is>
          <t>RHIO框架包含三个主要组件：1.不忠实数据增强, 2.忠实度感知调优, 3.自诱导解码</t>
        </is>
      </c>
      <c r="D13" t="inlineStr">
        <is>
          <t>RHIO框架的三个主要组成部分是：不忠实数据增强（Unfaithful Data Augmentation）、忠实性感知调优（Faithfulness-aware Tuning）和自诱导解码（Self-induced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Optimization_chunk_065]</t>
        </is>
      </c>
      <c r="E13" t="n">
        <v>1</v>
      </c>
      <c r="F13" t="n">
        <v>1</v>
      </c>
      <c r="G13" t="n">
        <v>1</v>
      </c>
      <c r="H13" t="n">
        <v>1</v>
      </c>
      <c r="I13" t="n">
        <v>1</v>
      </c>
      <c r="J13" t="n">
        <v>1</v>
      </c>
      <c r="K13" t="b">
        <v>0</v>
      </c>
      <c r="L13" t="n">
        <v>3</v>
      </c>
      <c r="M13" t="n">
        <v>0</v>
      </c>
      <c r="N13" t="n">
        <v>0</v>
      </c>
    </row>
    <row r="14">
      <c r="A14" t="inlineStr">
        <is>
          <t>在How to Train Long-Context Language Models中的监督微调（SFT）阶段，论文作者发现使用哪种类型的数据集能够在长上下文任务上取得最佳性能？</t>
        </is>
      </c>
      <c r="B14" t="inlineStr">
        <is>
          <t>方法细节类</t>
        </is>
      </c>
      <c r="C14" t="inlineStr">
        <is>
          <t>作者发现，仅使用标准的、短上下文的指令数据集（如 UltraChat）进行微调，就能在长上下文任务上取得最佳效果。</t>
        </is>
      </c>
      <c r="D14" t="inlineStr">
        <is>
          <t>论文作者发现，使用标准的短上下文指令数据集进行监督微调，即可在长上下文任务上取得最佳性能；而添加长合成指令数据不仅没有帮助，甚至可能损害性能。
来自: [2025.acl-long.366_How to Train Long-Context Language Models (Effectively), 第8页, 2025.acl-long.366_How to Train Long-Context Language Models (Effectively)_chunk_048]</t>
        </is>
      </c>
      <c r="E14" t="n">
        <v>1</v>
      </c>
      <c r="F14" t="n">
        <v>1</v>
      </c>
      <c r="G14" t="n">
        <v>1</v>
      </c>
      <c r="H14" t="n">
        <v>1</v>
      </c>
      <c r="I14" t="n">
        <v>0</v>
      </c>
      <c r="J14" t="n">
        <v>1</v>
      </c>
      <c r="K14" t="b">
        <v>0</v>
      </c>
      <c r="L14" t="n">
        <v>1</v>
      </c>
      <c r="M14" t="n">
        <v>0</v>
      </c>
      <c r="N14" t="n">
        <v>0</v>
      </c>
    </row>
    <row r="15">
      <c r="A15" t="inlineStr">
        <is>
          <t>在"Astute RAG"中，作者提出的knowledge consolidation过程包含哪三个主要步骤？</t>
        </is>
      </c>
      <c r="B15" t="inlineStr">
        <is>
          <t>方法细节类</t>
        </is>
      </c>
      <c r="C15" t="inlineStr">
        <is>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is>
      </c>
      <c r="D15" t="inlineStr">
        <is>
          <t>知识整合过程包含三个主要步骤：合并一致信息、识别冲突信息、过滤无关信息。
来自: [2025.acl-long.1476_Astute RAG, 第2页, 2025.acl-long.1476_Astute RAG_chunk_007] 和 [2025.acl-long.1476_Astute RAG, 第16页, 2025.acl-long.1476_Astute RAG_chunk_046]</t>
        </is>
      </c>
      <c r="E15" t="n">
        <v>1</v>
      </c>
      <c r="F15" t="n">
        <v>1</v>
      </c>
      <c r="G15" t="n">
        <v>1</v>
      </c>
      <c r="H15" t="n">
        <v>1</v>
      </c>
      <c r="I15" t="n">
        <v>1</v>
      </c>
      <c r="J15" t="n">
        <v>1</v>
      </c>
      <c r="K15" t="b">
        <v>0</v>
      </c>
      <c r="L15" t="n">
        <v>3</v>
      </c>
      <c r="M15" t="n">
        <v>0</v>
      </c>
      <c r="N15" t="n">
        <v>0</v>
      </c>
    </row>
    <row r="16">
      <c r="A16" t="inlineStr">
        <is>
          <t>LongRefiner 在推理时如何降低在线延迟？</t>
        </is>
      </c>
      <c r="B16" t="inlineStr">
        <is>
          <t>方法细节类</t>
        </is>
      </c>
      <c r="C16" t="inlineStr">
        <is>
          <t>将推理分为离线阶段和在线阶段。离线阶段完成文档结构化任务，在线阶段仅处理用户查询分析和自适应精炼（输入输出仅数百个 tokens），整体延迟约为标准设置的 25%。</t>
        </is>
      </c>
      <c r="D16" t="inlineStr">
        <is>
          <t>LongRefiner 将推理过程拆分为离线与在线两个阶段。离线阶段预先对语料库中的文档执行层次化文档结构化任务；在线阶段仅需处理用户查询分析及自适应精炼，由于在线阶段只涉及数百个输入 token 和数十个输出 token，整体在线延迟降至标准设置的约 25%。
来自: [Hierarchical Document Refinement for Long-context Retrieval-augmented Generation, 第6页, 2025.acl-long.176_Hierarchical Document Refinement for Long-context Retrieval-augmented Generation_chunk_030]</t>
        </is>
      </c>
      <c r="E16" t="n">
        <v>1</v>
      </c>
      <c r="F16" t="n">
        <v>1</v>
      </c>
      <c r="G16" t="n">
        <v>1</v>
      </c>
      <c r="H16" t="n">
        <v>1</v>
      </c>
      <c r="I16" t="n">
        <v>1</v>
      </c>
      <c r="J16" t="n">
        <v>1</v>
      </c>
      <c r="K16" t="b">
        <v>0</v>
      </c>
      <c r="L16" t="n">
        <v>3</v>
      </c>
      <c r="M16" t="n">
        <v>0</v>
      </c>
      <c r="N16" t="n">
        <v>0</v>
      </c>
    </row>
    <row r="17">
      <c r="A17" t="inlineStr">
        <is>
          <t>DRAG框架如何保护用户隐私？请描述其隐私保护机制。</t>
        </is>
      </c>
      <c r="B17" t="inlineStr">
        <is>
          <t>方法细节类</t>
        </is>
      </c>
      <c r="C17" t="inlineStr">
        <is>
          <t>DRAG通过传输去标识化的查询和结构化知识而不是完整响应来保护用户隐私。这样可以避免传输完整的用户查询和敏感信息。</t>
        </is>
      </c>
      <c r="D17" t="inlineStr">
        <is>
          <t>DRAG框架的隐私保护机制是：本地目标模型先对用户查询进行重新表述，剥离其中的敏感信息，然后将去隐私的查询发送至云端教师大模型；云端模型仅生成相关证据和知识图谱，而非直接答案，这些结构化知识返回本地后由本地模型完成最终回答，从而确保敏感数据不离开本地。此外，框架还利用小模型检测并移除个人身份信息（PII），进一步降低隐私泄露风险。
来自: [2025.acl-long.358_DRAG, 第1页, 2025.acl-long.358_DRAG_chunk_004]
来自: [2025.acl-long.358_DRAG, 第5页, 2025.acl-long.358_DRAG_chunk_025]</t>
        </is>
      </c>
      <c r="E17" t="n">
        <v>0</v>
      </c>
      <c r="F17" t="n">
        <v>1</v>
      </c>
      <c r="G17" t="n">
        <v>1</v>
      </c>
      <c r="H17" t="n">
        <v>0.3333333333333333</v>
      </c>
      <c r="I17" t="n">
        <v>0.5</v>
      </c>
      <c r="J17" t="n">
        <v>0.667</v>
      </c>
      <c r="K17" t="b">
        <v>0</v>
      </c>
      <c r="L17" t="n">
        <v>1</v>
      </c>
      <c r="M17" t="n">
        <v>0</v>
      </c>
      <c r="N17" t="n">
        <v>1</v>
      </c>
    </row>
    <row r="18">
      <c r="A18" t="inlineStr">
        <is>
          <t>简述 Think&amp; Cite 框架中 SG-MCTS 的工作流程及其步骤。</t>
        </is>
      </c>
      <c r="B18" t="inlineStr">
        <is>
          <t>方法细节类</t>
        </is>
      </c>
      <c r="C18" t="inlineStr">
        <is>
          <t>SG-MCTS利用LLMs的自反思能力来推理MCTS的中间状态，以指导树扩展过程。在每次迭代中，SG-MCTS 遵循四个步骤，即选择、反思引导的扩展、评估和反向传播。</t>
        </is>
      </c>
      <c r="D18" t="inlineStr">
        <is>
          <t>SG-MCTS在每次迭代中执行四个步骤：选择、反思引导的扩展、评估和反向传播。在扩展阶段，利用LLM的自我反思能力对中间状态进行实时批评与细化，以引导树扩展并主动避开错误路径；评估阶段则通过Progress Reward Modeling从生成进度和归因进度两方面提供可靠反馈。
来自: [2025.acl-long.490_Think&amp;Cite, 第3页, 2025.acl-long.490_Think&amp;Cite_chunk_014] [2025.acl-long.490_Think&amp;Cite, 第3页, 2025.acl-long.490_Think&amp;Cite_chunk_013] [2025.acl-long.490_Think&amp;Cite, 第1页, 2025.acl-long.490_Think&amp;Cite_chunk_003]</t>
        </is>
      </c>
      <c r="E18" t="n">
        <v>1</v>
      </c>
      <c r="F18" t="n">
        <v>1</v>
      </c>
      <c r="G18" t="n">
        <v>1</v>
      </c>
      <c r="H18" t="n">
        <v>1</v>
      </c>
      <c r="I18" t="n">
        <v>1</v>
      </c>
      <c r="J18" t="n">
        <v>1</v>
      </c>
      <c r="K18" t="b">
        <v>0</v>
      </c>
      <c r="L18" t="n">
        <v>4</v>
      </c>
      <c r="M18" t="n">
        <v>0</v>
      </c>
      <c r="N18" t="n">
        <v>0</v>
      </c>
    </row>
    <row r="19">
      <c r="A19" t="inlineStr">
        <is>
          <t>SETR 的段落选择提示（Passage Selection Prompt）所引导的关键过程包含哪三个具体步骤？每个步骤的核心任务是什么？</t>
        </is>
      </c>
      <c r="B19" t="inlineStr">
        <is>
          <t>方法细节类</t>
        </is>
      </c>
      <c r="C19" t="inlineStr">
        <is>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is>
      </c>
      <c r="D19" t="inlineStr">
        <is>
          <t>SETR 的段落选择提示引导的关键过程包含三个步骤：第一步，枚举回答查询所需的关键信息需求；第二步，为每个信息需求识别包含相关信息的段落；第三步，选择一个段落子集，使其共同提供最全面、多样化的信息覆盖以有效回答查询。
来自: [2025.acl-long.861_Shifting from Ranking to Set Selection for Retrieval Augmented Generation, 第4页, 2025.acl-long.861_Shifting from Ranking to Set Selection for Retrieval Augmented Generation_chunk_015]</t>
        </is>
      </c>
      <c r="E19" t="n">
        <v>1</v>
      </c>
      <c r="F19" t="n">
        <v>1</v>
      </c>
      <c r="G19" t="n">
        <v>1</v>
      </c>
      <c r="H19" t="n">
        <v>1</v>
      </c>
      <c r="I19" t="n">
        <v>1</v>
      </c>
      <c r="J19" t="n">
        <v>1</v>
      </c>
      <c r="K19" t="b">
        <v>0</v>
      </c>
      <c r="L19" t="n">
        <v>3</v>
      </c>
      <c r="M19" t="n">
        <v>0</v>
      </c>
      <c r="N19" t="n">
        <v>0</v>
      </c>
    </row>
    <row r="20">
      <c r="A20" t="inlineStr">
        <is>
          <t>Meta-Bench基准测试中，α参数的最优范围是多少？这个参数的作用是什么？</t>
        </is>
      </c>
      <c r="B20" t="inlineStr">
        <is>
          <t>方法细节类</t>
        </is>
      </c>
      <c r="C20" t="inlineStr">
        <is>
          <t>α参数的最优范围在0.65到0.8之间。这个参数用于平衡工具描述和参数描述在工具检索中的权重。</t>
        </is>
      </c>
      <c r="D20" t="inlineStr">
        <is>
          <t>在Meta-Tool基准测试中，α参数的最优范围是0.65到0.8。该参数的作用是平衡工具描述与参数描述在检索过程中的权重，从而提升工具检索的整体效果。
来自: [2025.acl-long.1481_Meta-Tool, 第20页, 2025.acl-long.1481_Meta-Tool_chunk_071]</t>
        </is>
      </c>
      <c r="E20" t="n">
        <v>1</v>
      </c>
      <c r="F20" t="n">
        <v>1</v>
      </c>
      <c r="G20" t="n">
        <v>1</v>
      </c>
      <c r="H20" t="n">
        <v>1</v>
      </c>
      <c r="I20" t="n">
        <v>1</v>
      </c>
      <c r="J20" t="n">
        <v>1</v>
      </c>
      <c r="K20" t="b">
        <v>0</v>
      </c>
      <c r="L20" t="n">
        <v>2</v>
      </c>
      <c r="M20" t="n">
        <v>0</v>
      </c>
      <c r="N20" t="n">
        <v>0</v>
      </c>
    </row>
    <row r="21">
      <c r="A21" t="inlineStr">
        <is>
          <t>CypherBench 是如何从 RDF 图生成领域特定属性图的？</t>
        </is>
      </c>
      <c r="B21" t="inlineStr">
        <is>
          <t>方法细节类</t>
        </is>
      </c>
      <c r="C21" t="inlineStr">
        <is>
          <t>CypherBench 通过将 RDF 图转换为多个领域特定的属性图（domain-specific property graphs）来实现这一过程，并使用 Cypher 语言对其进行查询。</t>
        </is>
      </c>
      <c r="D21" t="inlineStr">
        <is>
          <t>CypherBench 将 RDF 图（如 Wikidata）转换为多个领域特定的属性图视图，每个视图包含符合该领域模式的所有实体和关系。转换层负责数据类型转换和单位标准化，生成模式强制、严格类型的数据。转换过程通过执行 SPARQL 查询并聚合结果实现，而非处理整个 RDF 转储，因此对小图（少于 10,000 个实体）只需几秒钟。
来自: [2025.acl-long.438_CypherBench, 第4页, 2025.acl-long.438_CypherBench_chunk_016] 和 [2025.acl-long.438_CypherBench, 第4页, 2025.acl-long.438_CypherBench_chunk_017] 和 [2025.acl-long.438_CypherBench, 第2页, 2025.acl-long.438_CypherBench_chunk_007]</t>
        </is>
      </c>
      <c r="E21" t="n">
        <v>1</v>
      </c>
      <c r="F21" t="n">
        <v>1</v>
      </c>
      <c r="G21" t="n">
        <v>1</v>
      </c>
      <c r="H21" t="n">
        <v>1</v>
      </c>
      <c r="I21" t="n">
        <v>1</v>
      </c>
      <c r="J21" t="n">
        <v>0.667</v>
      </c>
      <c r="K21" t="b">
        <v>0</v>
      </c>
      <c r="L21" t="n">
        <v>1</v>
      </c>
      <c r="M21" t="n">
        <v>0</v>
      </c>
      <c r="N21" t="n">
        <v>1</v>
      </c>
    </row>
    <row r="22">
      <c r="A22" t="inlineStr">
        <is>
          <t xml:space="preserve"> ClinRaGen框架的三阶段理由蒸馏范式是什么？</t>
        </is>
      </c>
      <c r="B22" t="inlineStr">
        <is>
          <t>方法细节类</t>
        </is>
      </c>
      <c r="C22" t="inlineStr">
        <is>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is>
      </c>
      <c r="D22" t="inlineStr">
        <is>
          <t>ClinRaGen的三阶段理由蒸馏范式是：第一阶段从医疗笔记中蒸馏理由，使小语言模型建立对文本临床信息的基础理解；第二阶段引入知识增强注意力，将数值实验室测试与结构化医学知识对齐，以蒸馏基于实验室测试的理由；第三阶段完全整合文本和数值输入，生成临床连贯的多模态理由。
来自: [2025.acl-long.540_Knowledge-Augmented Multimodal Clinical Rationale Generation for Disease Diagnosis with Small Language Models, 第4页, 2025.acl-long.540_Knowledge-Augmented Multimodal Clinical Rationale Generation for Disease Diagnosis with Small Language Models_chunk_016]</t>
        </is>
      </c>
      <c r="E22" t="n">
        <v>1</v>
      </c>
      <c r="F22" t="n">
        <v>1</v>
      </c>
      <c r="G22" t="n">
        <v>1</v>
      </c>
      <c r="H22" t="n">
        <v>1</v>
      </c>
      <c r="I22" t="n">
        <v>1</v>
      </c>
      <c r="J22" t="n">
        <v>1</v>
      </c>
      <c r="K22" t="b">
        <v>0</v>
      </c>
      <c r="L22" t="n">
        <v>3</v>
      </c>
      <c r="M22" t="n">
        <v>0</v>
      </c>
      <c r="N22" t="n">
        <v>0</v>
      </c>
    </row>
    <row r="23">
      <c r="A23" t="inlineStr">
        <is>
          <t>QAEncoder如何解决文档-查询差距问题？</t>
        </is>
      </c>
      <c r="B23" t="inlineStr">
        <is>
          <t>方法细节类</t>
        </is>
      </c>
      <c r="C23" t="inlineStr">
        <is>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is>
      </c>
      <c r="D23" t="inlineStr">
        <is>
          <t>QAEncoder 从查询中心视角出发，为每个文档生成多样化的查询，用这些查询嵌入的期望替换原始文档嵌入，从而得到与查询语义对齐的表示；同时引入文档指纹策略来保证文档的可区分性，以此弥合文档与查询之间的差距。
来自: [2025.acl-long.217_QAEncoder, 第5页, 2025.acl-long.217_QAEncoder_chunk_019]  
来自: [2025.acl-long.217_QAEncoder, 第2页, 2025.acl-long.217_QAEncoder_chunk_007]</t>
        </is>
      </c>
      <c r="E23" t="n">
        <v>1</v>
      </c>
      <c r="F23" t="n">
        <v>1</v>
      </c>
      <c r="G23" t="n">
        <v>1</v>
      </c>
      <c r="H23" t="n">
        <v>1</v>
      </c>
      <c r="I23" t="n">
        <v>1</v>
      </c>
      <c r="J23" t="n">
        <v>1</v>
      </c>
      <c r="K23" t="b">
        <v>0</v>
      </c>
      <c r="L23" t="n">
        <v>2</v>
      </c>
      <c r="M23" t="n">
        <v>0</v>
      </c>
      <c r="N23" t="n">
        <v>0</v>
      </c>
    </row>
    <row r="24">
      <c r="A24" t="inlineStr">
        <is>
          <t>在 HALOGEN 的文本简化任务中，如何验证模型生成的简化文本是否忠实于原文？</t>
        </is>
      </c>
      <c r="B24" t="inlineStr">
        <is>
          <t>方法细节类</t>
        </is>
      </c>
      <c r="C24" t="inlineStr">
        <is>
          <t>先用 GPT-3.5-turbo 将简化文本分解为独立的原子事实，再用 Llama-2-70B-chat 判断每个原子事实是否被原文蕴含。</t>
        </is>
      </c>
      <c r="D24" t="inlineStr">
        <is>
          <t>在 HALOGEN 的文本简化任务中，验证模型生成的简化文本是否忠实于原文的方法与摘要任务相同：首先使用 GPT-3.5 将简化文本分解为独立的原子事实，然后使用 Llama-2-70B 对每个原子事实进行蕴含判断，以确定其是否忠实于原文。
来自: [2025.acl-long.71_HALoGEN, 第3页, 2025.acl-long.71_HALoGEN_chunk_017]</t>
        </is>
      </c>
      <c r="E24" t="n">
        <v>1</v>
      </c>
      <c r="F24" t="n">
        <v>1</v>
      </c>
      <c r="G24" t="n">
        <v>1</v>
      </c>
      <c r="H24" t="n">
        <v>1</v>
      </c>
      <c r="I24" t="n">
        <v>1</v>
      </c>
      <c r="J24" t="n">
        <v>1</v>
      </c>
      <c r="K24" t="b">
        <v>0</v>
      </c>
      <c r="L24" t="n">
        <v>1</v>
      </c>
      <c r="M24" t="n">
        <v>0</v>
      </c>
      <c r="N24" t="n">
        <v>0</v>
      </c>
    </row>
    <row r="25">
      <c r="A25" t="inlineStr">
        <is>
          <t>在"CiteEval"论文中，GPT-4o和Llama-3-70B在Cited scenario和Full scenario下的表现有何差异？</t>
        </is>
      </c>
      <c r="B25" t="inlineStr">
        <is>
          <t>实验结果类</t>
        </is>
      </c>
      <c r="C25" t="inlineStr">
        <is>
          <t>在Cited scenario下，GPT-4o表现最佳，Llama-3-70B与GPT-4o-mini相当；在Full scenario下，Llama-3-70B超越GPT-4o，取得最佳性能。</t>
        </is>
      </c>
      <c r="D25" t="inlineStr">
        <is>
          <t>在Cited scenario中，GPT-4o是表现最好的模型，而Llama-3-70b与GPT-4o-mini表现相当；在Full scenario中，Llama-3-70b则优于GPT-4o，取得了最佳性能。
来自: [2025.acl-long.1574_CiteEval, 第8页, 2025.acl-long.1574_CiteEval_chunk_041]</t>
        </is>
      </c>
      <c r="E25" t="n">
        <v>1</v>
      </c>
      <c r="F25" t="n">
        <v>1</v>
      </c>
      <c r="G25" t="n">
        <v>1</v>
      </c>
      <c r="H25" t="n">
        <v>1</v>
      </c>
      <c r="I25" t="n">
        <v>1</v>
      </c>
      <c r="J25" t="n">
        <v>1</v>
      </c>
      <c r="K25" t="b">
        <v>0</v>
      </c>
      <c r="L25" t="n">
        <v>2</v>
      </c>
      <c r="M25" t="n">
        <v>0</v>
      </c>
      <c r="N25" t="n">
        <v>0</v>
      </c>
    </row>
    <row r="26">
      <c r="A26" t="inlineStr">
        <is>
          <t>"FaithfulRAG"在FaithEval数据集上使用Mistral-7B作为backbone时的准确率是多少？相比最强基线提高了多少？</t>
        </is>
      </c>
      <c r="B26" t="inlineStr">
        <is>
          <t>实验结果类</t>
        </is>
      </c>
      <c r="C26" t="inlineStr">
        <is>
          <t>81.7%，比最强基线(KRE的73.2%)提高了8.5%。</t>
        </is>
      </c>
      <c r="D26" t="inlineStr">
        <is>
          <t>FaithfulRAG 在 FaithEval 数据集上使用 Mistral-7B 作为 backbone 时准确率为 81.7%，相比最强基线（KRE 的 73.2%）提高了 8.5%。
来自: [2025.acl-long.1062_FaithfulRAG, 第7页, 2025.acl-long.1062_FaithfulRAG_chunk_037]</t>
        </is>
      </c>
      <c r="E26" t="n">
        <v>1</v>
      </c>
      <c r="F26" t="n">
        <v>1</v>
      </c>
      <c r="G26" t="n">
        <v>1</v>
      </c>
      <c r="H26" t="n">
        <v>1</v>
      </c>
      <c r="I26" t="n">
        <v>1</v>
      </c>
      <c r="J26" t="n">
        <v>1</v>
      </c>
      <c r="K26" t="b">
        <v>0</v>
      </c>
      <c r="L26" t="n">
        <v>1</v>
      </c>
      <c r="M26" t="n">
        <v>0</v>
      </c>
      <c r="N26" t="n">
        <v>0</v>
      </c>
    </row>
    <row r="27">
      <c r="A27" t="inlineStr">
        <is>
          <t>RankCoT 相对于 vanilla RAG 模型的表现如何？这说明了什么？</t>
        </is>
      </c>
      <c r="B27" t="inlineStr">
        <is>
          <t>实验结果类</t>
        </is>
      </c>
      <c r="C27" t="inlineStr">
        <is>
          <t>RankCoT 相比 vanilla RAG 模型有 2.5% 的提升，表明它在提供更有意义的细化方面有效，有助于 LLM 更好地回答问题。</t>
        </is>
      </c>
      <c r="D27" t="inlineStr">
        <is>
          <t>RankCoT 在所有数据集上的表现均优于 vanilla RAG 模型，实现了约 2.5% 的平均性能提升。这说明 RankCoT 能够有效地从检索文档中整合更多与查询相关的信息，并过滤掉噪声，从而帮助大语言模型生成更准确的答案。
来自: [2025.acl-long.629_RankCoT, 第7页, 2025.acl-long.629_RankCoT_chunk_045]
来自: [2025.acl-long.629_RankCoT, 第6页, 2025.acl-long.629_RankCoT_chunk_036]</t>
        </is>
      </c>
      <c r="E27" t="n">
        <v>1</v>
      </c>
      <c r="F27" t="n">
        <v>1</v>
      </c>
      <c r="G27" t="n">
        <v>1</v>
      </c>
      <c r="H27" t="n">
        <v>1</v>
      </c>
      <c r="I27" t="n">
        <v>1</v>
      </c>
      <c r="J27" t="n">
        <v>0.667</v>
      </c>
      <c r="K27" t="b">
        <v>0</v>
      </c>
      <c r="L27" t="n">
        <v>1</v>
      </c>
      <c r="M27" t="n">
        <v>0</v>
      </c>
      <c r="N27" t="n">
        <v>1</v>
      </c>
    </row>
    <row r="28">
      <c r="A28" t="inlineStr">
        <is>
          <t>在 HALoGEN 基准测试中，表现最好的 LLM 生成事实的幻觉率范围是多少？</t>
        </is>
      </c>
      <c r="B28" t="inlineStr">
        <is>
          <t>实验结果类</t>
        </is>
      </c>
      <c r="C28" t="inlineStr">
        <is>
          <t>实验发现，即使是表现最好的 LLM，其生成事实的幻觉率也在 3% 到 86% 之间，具体数值取决于所属领域。</t>
        </is>
      </c>
      <c r="D28" t="inlineStr">
        <is>
          <t>根据 HALoGEN 基准测试，表现最好的 LLM（GPT-4）生成事实的幻觉率范围是 3% 到 86%，具体取决于任务领域。
来自: [2025.acl-long.71_HALoGEN, 第1页, 2025.acl-long.71_HALoGEN_chunk_004]</t>
        </is>
      </c>
      <c r="E28" t="n">
        <v>1</v>
      </c>
      <c r="F28" t="n">
        <v>1</v>
      </c>
      <c r="G28" t="n">
        <v>1</v>
      </c>
      <c r="H28" t="n">
        <v>1</v>
      </c>
      <c r="I28" t="n">
        <v>1</v>
      </c>
      <c r="J28" t="n">
        <v>1</v>
      </c>
      <c r="K28" t="b">
        <v>0</v>
      </c>
      <c r="L28" t="n">
        <v>1</v>
      </c>
      <c r="M28" t="n">
        <v>0</v>
      </c>
      <c r="N28" t="n">
        <v>0</v>
      </c>
    </row>
    <row r="29">
      <c r="A29" t="inlineStr">
        <is>
          <t xml:space="preserve"> 在LongBench v2基准测试中，人类专家在15分钟时间限制下的准确率是多少？</t>
        </is>
      </c>
      <c r="B29" t="inlineStr">
        <is>
          <t>实验结果类</t>
        </is>
      </c>
      <c r="C29" t="inlineStr">
        <is>
          <t>人类专家在15分钟时间限制下的准确率为53.7%。</t>
        </is>
      </c>
      <c r="D29" t="inlineStr">
        <is>
          <t>人类专家在15分钟时间限制下的准确率为53.7%。
来自: [2025.acl-long.183_LongBench v2, 第1页, 2025.acl-long.183_LongBench v2_chunk_001]</t>
        </is>
      </c>
      <c r="E29" t="n">
        <v>1</v>
      </c>
      <c r="F29" t="n">
        <v>1</v>
      </c>
      <c r="G29" t="n">
        <v>1</v>
      </c>
      <c r="H29" t="n">
        <v>1</v>
      </c>
      <c r="I29" t="n">
        <v>1</v>
      </c>
      <c r="J29" t="n">
        <v>1</v>
      </c>
      <c r="K29" t="b">
        <v>0</v>
      </c>
      <c r="L29" t="n">
        <v>1</v>
      </c>
      <c r="M29" t="n">
        <v>0</v>
      </c>
      <c r="N29" t="n">
        <v>0</v>
      </c>
    </row>
    <row r="30">
      <c r="A30" t="inlineStr">
        <is>
          <t>AGENTSTAR方法在WebShop、ALFWorld和BabyAI任务上与GPT-4-Turbo相比有何优势？</t>
        </is>
      </c>
      <c r="B30" t="inlineStr">
        <is>
          <t>实验结果类</t>
        </is>
      </c>
      <c r="C30" t="inlineStr">
        <is>
          <t>AGENTSTAR 在这三个任务上的性能全面超越了 GPT-4-Turbo。其中在 WebShop 上的提升最为显著（远超 GPT-4-Turbo 61 个百分点），在 ALFWorld 和 BabyAI 上也分别实现了大幅领先（超过 GPT-4-Turbo 20.5 和 9.87 个百分点）。</t>
        </is>
      </c>
      <c r="D30" t="inlineStr">
        <is>
          <t>AGENTSTAR在WebShop、ALFWorld和BabyAI任务上分别比GPT-4-Turbo高出61.00分、20.50分和9.87分。
来自: [2025.acl-long.1355_AgentGym, 第7页, 2025.acl-long.1355_AgentGym_chunk_045]</t>
        </is>
      </c>
      <c r="E30" t="n">
        <v>1</v>
      </c>
      <c r="F30" t="n">
        <v>1</v>
      </c>
      <c r="G30" t="n">
        <v>1</v>
      </c>
      <c r="H30" t="n">
        <v>1</v>
      </c>
      <c r="I30" t="n">
        <v>1</v>
      </c>
      <c r="J30" t="n">
        <v>1</v>
      </c>
      <c r="K30" t="b">
        <v>0</v>
      </c>
      <c r="L30" t="n">
        <v>3</v>
      </c>
      <c r="M30" t="n">
        <v>0</v>
      </c>
      <c r="N30" t="n">
        <v>0</v>
      </c>
    </row>
    <row r="31">
      <c r="A31" t="inlineStr">
        <is>
          <t>在Humanity's Last Exam数据集上，Agentic Reasoning与DeepSeek-R1结合的性能提升是多少？与OpenAI Deep Research的差距如何变化？</t>
        </is>
      </c>
      <c r="B31" t="inlineStr">
        <is>
          <t>实验结果类</t>
        </is>
      </c>
      <c r="C31" t="inlineStr">
        <is>
          <t>在Humanity's Last Exam数据集上，Agentic Reasoning与DeepSeek-R1结合达到了23.8%的准确率，比基础模型提升了14.4%，与专有的OpenAI Deep Research的差距缩小到仅2.8%。</t>
        </is>
      </c>
      <c r="D31" t="inlineStr">
        <is>
          <t>在Humanity's Last Exam上，Agentic Reasoning与DeepSeek-R1结合后准确率达到23.8%，相比基础模型提升了14.4个百分点；与OpenAI Deep Research的差距缩小至2.8个百分点。
来自: [2025.acl-long.1383_Agentic Reasoning, 第1页, 2025.acl-long.1383_Agentic Reasoning_chunk_004]</t>
        </is>
      </c>
      <c r="E31" t="n">
        <v>1</v>
      </c>
      <c r="F31" t="n">
        <v>1</v>
      </c>
      <c r="G31" t="n">
        <v>1</v>
      </c>
      <c r="H31" t="n">
        <v>1</v>
      </c>
      <c r="I31" t="n">
        <v>1</v>
      </c>
      <c r="J31" t="n">
        <v>1</v>
      </c>
      <c r="K31" t="b">
        <v>0</v>
      </c>
      <c r="L31" t="n">
        <v>3</v>
      </c>
      <c r="M31" t="n">
        <v>0</v>
      </c>
      <c r="N31" t="n">
        <v>0</v>
      </c>
    </row>
    <row r="32">
      <c r="A32" t="inlineStr">
        <is>
          <t>在GAIA基准测试中，Agentic Reasoning在不同级别任务上的表现如何？</t>
        </is>
      </c>
      <c r="B32" t="inlineStr">
        <is>
          <t>实验结果类</t>
        </is>
      </c>
      <c r="C32" t="inlineStr">
        <is>
          <t>在GAIA基准测试中，Agentic Reasoning在Level 1和Level 2任务上超越了OpenAI的Deep Research，在Level 3任务上将差距缩小到2.26%。</t>
        </is>
      </c>
      <c r="D32" t="inlineStr">
        <is>
          <t>在GAIA基准测试中，Agentic Reasoning在Level 1上达到74.36%，Level 2上达到69.21%，Level 3上达到45.46%，平均66.13%。它在Level 1和Level 2任务上超越了OpenAI Deep Research，在Level 3上差距缩小至2.26%。
来自: [2025.acl-long.1383_Agentic Reasoning, 第5页, 2025.acl-long.1383_Agentic Reasoning_chunk_023] 和 [2025.acl-long.1383_Agentic Reasoning, 第5页, 2025.acl-long.1383_Agentic Reasoning_chunk_022]</t>
        </is>
      </c>
      <c r="E32" t="n">
        <v>1</v>
      </c>
      <c r="F32" t="n">
        <v>1</v>
      </c>
      <c r="G32" t="n">
        <v>1</v>
      </c>
      <c r="H32" t="n">
        <v>1</v>
      </c>
      <c r="I32" t="n">
        <v>1</v>
      </c>
      <c r="J32" t="n">
        <v>1</v>
      </c>
      <c r="K32" t="b">
        <v>0</v>
      </c>
      <c r="L32" t="n">
        <v>2</v>
      </c>
      <c r="M32" t="n">
        <v>0</v>
      </c>
      <c r="N32" t="n">
        <v>0</v>
      </c>
    </row>
    <row r="33">
      <c r="A33" t="inlineStr">
        <is>
          <t xml:space="preserve"> 在Asclepius医学基准测试中，人类医生与Med-MLLMs的表现对比如何？</t>
        </is>
      </c>
      <c r="B33" t="inlineStr">
        <is>
          <t>实验结果类</t>
        </is>
      </c>
      <c r="C33" t="inlineStr">
        <is>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is>
      </c>
      <c r="D33" t="inlineStr">
        <is>
          <t>在Asclepius基准测试中，人类医生在所有医学专科的诊断准确率上均优于Med‑MLLMs。人类医生的平均准确率在0.538至0.641之间，其中由多位专科医生集成的Meta‑Doctor平均准确率最高；而表现最好的Med‑MLLM（GPT‑4V）准确率为54.3%，仅与初级医生（57.4%）相当。此外，人类医生在不同专科间的表现差异很大，而Med‑MLLMs的跨专科变异性明显较低。GPT‑4V是Med‑MLLMs中最稳健的模型，其平均准确率最接近人类医生，但仍存在差距。
来自: [2025.acl-long.1178_Asclepius, 第7页, 2025.acl-long.1178_Asclepius_chunk_032][2025.acl-long.1178_Asclepius, 第15页, 2025.acl-long.1178_Asclepius_chunk_048][2025.acl-long.1178_Asclepius, 第6页, 2025.acl-long.1178_Asclepius_chunk_025][2025.acl-long.1178_Asclepius, 第7页, 2025.acl-long.1178_Asclepius_chunk_029]</t>
        </is>
      </c>
      <c r="E33" t="n">
        <v>1</v>
      </c>
      <c r="F33" t="n">
        <v>1</v>
      </c>
      <c r="G33" t="n">
        <v>1</v>
      </c>
      <c r="H33" t="n">
        <v>1</v>
      </c>
      <c r="I33" t="n">
        <v>1</v>
      </c>
      <c r="J33" t="n">
        <v>1</v>
      </c>
      <c r="K33" t="b">
        <v>0</v>
      </c>
      <c r="L33" t="n">
        <v>3</v>
      </c>
      <c r="M33" t="n">
        <v>0</v>
      </c>
      <c r="N33" t="n">
        <v>0</v>
      </c>
    </row>
    <row r="34">
      <c r="A34" t="inlineStr">
        <is>
          <t>在LongDocURL基准测试中，GPT-4o的表现如何？其他开源模型呢？</t>
        </is>
      </c>
      <c r="B34" t="inlineStr">
        <is>
          <t>实验结果类</t>
        </is>
      </c>
      <c r="C34" t="inlineStr">
        <is>
          <t>在LongDocURL基准测试中，只有GPT-4o达到了及格标准，得分为64.5，表明该基准对当前模型提出了重大挑战。在开源模型中，只有Qwen2-VL（得分30.6）和LLaVA-OneVision（得分22.0和25.0）超过了20分的阈值，其他参数少于13B的模型都低于这个阈值。</t>
        </is>
      </c>
      <c r="D34" t="inlineStr">
        <is>
          <t>在LongDocURL基准测试中，GPT-4o得分64.5，是所有模型中的最高分，也是唯一达到及格标准的模型。开源模型表现较差，最佳得分仅为30.6。
来自: [2025.acl-long.57_LongDocURL, 第2页, 2025.acl-long.57_LongDocURL_chunk_007]</t>
        </is>
      </c>
      <c r="E34" t="n">
        <v>1</v>
      </c>
      <c r="F34" t="n">
        <v>1</v>
      </c>
      <c r="G34" t="n">
        <v>1</v>
      </c>
      <c r="H34" t="n">
        <v>1</v>
      </c>
      <c r="I34" t="n">
        <v>1</v>
      </c>
      <c r="J34" t="n">
        <v>0.667</v>
      </c>
      <c r="K34" t="b">
        <v>0</v>
      </c>
      <c r="L34" t="n">
        <v>2</v>
      </c>
      <c r="M34" t="n">
        <v>0</v>
      </c>
      <c r="N34" t="n">
        <v>2</v>
      </c>
    </row>
    <row r="35">
      <c r="A35" t="inlineStr">
        <is>
          <t>RAGEval 提出的自动评估指标与人工评估的一致性如何？</t>
        </is>
      </c>
      <c r="B35" t="inlineStr">
        <is>
          <t>实验结果类</t>
        </is>
      </c>
      <c r="C35" t="inlineStr">
        <is>
          <t>实验结果表明，RAGEval 的机器自动评估与人工评估在所有指标上均表现出高度一致性。两者之间的最终绝对差异仅为 1.67%。</t>
        </is>
      </c>
      <c r="D35" t="inlineStr">
        <is>
          <t>RAGEval 使用 LLM 对提出的指标进行评分，与人工评估表现出高度一致性。
来自: [2025.acl-long.418_RAGEval, 第1页, 2025.acl-long.418_RAGEval_chunk_001]</t>
        </is>
      </c>
      <c r="E35" t="n">
        <v>1</v>
      </c>
      <c r="F35" t="n">
        <v>1</v>
      </c>
      <c r="G35" t="n">
        <v>1</v>
      </c>
      <c r="H35" t="n">
        <v>1</v>
      </c>
      <c r="I35" t="n">
        <v>1</v>
      </c>
      <c r="J35" t="n">
        <v>0.667</v>
      </c>
      <c r="K35" t="b">
        <v>0</v>
      </c>
      <c r="L35" t="n">
        <v>1</v>
      </c>
      <c r="M35" t="n">
        <v>0</v>
      </c>
      <c r="N35" t="n">
        <v>1</v>
      </c>
    </row>
    <row r="36">
      <c r="A36" t="inlineStr">
        <is>
          <t>在利用大模型内部知识应对知识冲突时，《Astute RAG》与《FaithfulRAG》各自采用了什么核心机制/模块来提取或生成内部知识？</t>
        </is>
      </c>
      <c r="B36" t="inlineStr">
        <is>
          <t>跨论文比较类</t>
        </is>
      </c>
      <c r="C36" t="inlineStr">
        <is>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is>
      </c>
      <c r="D36" t="inlineStr">
        <is>
          <t>《Astute RAG》采用的核心机制是**自适应知识引出**，即根据情况动态地从大模型内部知识中提取必要信息。  
《FaithfulRAG》采用的核心模块是**Self-Fact Mining**，该模块将大模型对问题的理解外化为事实级别的细粒度知识。
来自: [2025.acl-long.1476_Astute RAG, 第2页, 2025.acl-long.1476_Astute RAG_chunk_007]  
来自: [2025.acl-long.1062_FaithfulRAG, 第2页, 2025.acl-long.1062_FaithfulRAG_chunk_007]</t>
        </is>
      </c>
      <c r="E36" t="n">
        <v>0</v>
      </c>
      <c r="F36" t="n">
        <v>1</v>
      </c>
      <c r="G36" t="n">
        <v>1</v>
      </c>
      <c r="H36" t="n">
        <v>0.5</v>
      </c>
      <c r="I36" t="n">
        <v>0.5</v>
      </c>
      <c r="J36" t="n">
        <v>1</v>
      </c>
      <c r="K36" t="b">
        <v>0</v>
      </c>
      <c r="L36" t="n">
        <v>2</v>
      </c>
      <c r="M36" t="n">
        <v>0</v>
      </c>
      <c r="N36" t="n">
        <v>0</v>
      </c>
    </row>
    <row r="37">
      <c r="A37" t="inlineStr">
        <is>
          <t>"UniRAG"和"FaithfulRAG"在处理查询理解方面的核心创新分别是什么？</t>
        </is>
      </c>
      <c r="B37" t="inlineStr">
        <is>
          <t>跨论文比较类</t>
        </is>
      </c>
      <c r="C37" t="inlineStr">
        <is>
          <t>UniRAG提出统一的查询理解框架，集成查询增强和查询编码两个阶段；FaithfulRAG通过自我事实挖掘和自思考模块，在事实级别识别并解决参数化知识与检索上下文之间的冲突，提高语义一致性。</t>
        </is>
      </c>
      <c r="D37" t="inlineStr">
        <is>
          <t>UniRAG的核心创新在于将查询增强与编码统一到一个解码器-only LLM中，消除了任务分离带来的信息共享障碍和累积误差，并通过自适应选择查询增强策略（如查询释义、扩展、抽象）来提升检索性能。  
FaithfulRAG的核心创新并不直接针对查询理解，而是聚焦于生成阶段：通过自我事实挖掘、上下文知识对齐和自我思考模块，在事实层面识别并解决模型参数知识与检索上下文之间的冲突，从而生成更忠实的回答。
来自: [2025.acl-long.693_UniRAG, 第1页, 2025.acl-long.693_UniRAG_chunk_001]  
来自: [2025.acl-long.693_UniRAG, 第9页, 2025.acl-long.693_UniRAG_chunk_042]  
来自: [2025.acl-long.1062_FaithfulRAG, 第9页, 2025.acl-long.1062_FaithfulRAG_chunk_050]  
来自: [2025.acl-long.1062_FaithfulRAG, 第4页, 2025.acl-long.1062_FaithfulRAG_chunk_015]</t>
        </is>
      </c>
      <c r="E37" t="n">
        <v>0</v>
      </c>
      <c r="F37" t="n">
        <v>1</v>
      </c>
      <c r="G37" t="n">
        <v>1</v>
      </c>
      <c r="H37" t="n">
        <v>0.5</v>
      </c>
      <c r="I37" t="n">
        <v>1</v>
      </c>
      <c r="J37" t="n">
        <v>0.8</v>
      </c>
      <c r="K37" t="b">
        <v>0</v>
      </c>
      <c r="L37" t="n">
        <v>2</v>
      </c>
      <c r="M37" t="n">
        <v>0</v>
      </c>
      <c r="N37" t="n">
        <v>1</v>
      </c>
    </row>
    <row r="38">
      <c r="A38" t="inlineStr">
        <is>
          <t>比较MEMERAG和DragonBall两个基准的异同点，它们各自关注的评估维度是什么？</t>
        </is>
      </c>
      <c r="B38" t="inlineStr">
        <is>
          <t>跨论文比较类</t>
        </is>
      </c>
      <c r="C38" t="inlineStr">
        <is>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is>
      </c>
      <c r="D38" t="inlineStr">
        <is>
          <t>MEMERAG和DragonBall都是面向多语言RAG系统的基准，但侧重点不同。相同点在于两者均包含中英文数据，支持多语言场景下的评估。不同点在于：MEMERAG是一个元评估基准，通过人工标注生成响应的忠实度和相关性，用于衡量自动评估器与人类判断的一致性；而DragonBall是一个面向特定领域（金融、法律、医疗）的检索评估基准，主要评估检索模型的召回率（Recall）和有效信息率（EIR）。
MEMERAG关注的评估维度是生成内容的**忠实度（faithfulness）和相关性（relevance）**；DragonBall关注的评估维度是检索阶段的**召回率（Recall）和有效信息率（EIR）**。
来自: [2025.acl-long.1101_MEMERAG, 第3页, 2025.acl-long.1101_MEMERAG_chunk_014]  
来自: [2025.acl-long.418_RAGEval, 第4页, 2025.acl-long.418_RAGEval_chunk_018]  
来自: [2025.acl-long.418_RAGEval, 第17页, 2025.acl-long.418_RAGEval_chunk_064]</t>
        </is>
      </c>
      <c r="E38" t="n">
        <v>0</v>
      </c>
      <c r="F38" t="n">
        <v>0</v>
      </c>
      <c r="G38" t="n">
        <v>0</v>
      </c>
      <c r="H38" t="n">
        <v>0</v>
      </c>
      <c r="I38" t="n">
        <v>0</v>
      </c>
      <c r="J38" t="n">
        <v>0.857</v>
      </c>
      <c r="K38" t="b">
        <v>0</v>
      </c>
      <c r="L38" t="n">
        <v>3</v>
      </c>
      <c r="M38" t="n">
        <v>0</v>
      </c>
      <c r="N38" t="n">
        <v>1</v>
      </c>
    </row>
    <row r="39">
      <c r="A39" t="inlineStr">
        <is>
          <t>SYNQA 和 RHIO 分别通过什么方式生成训练数据？这两种数据生成策略在提升模型归因能力上有什么不同？</t>
        </is>
      </c>
      <c r="B39" t="inlineStr">
        <is>
          <t>跨论文比较类</t>
        </is>
      </c>
      <c r="C39" t="inlineStr">
        <is>
          <t>SYNQA：通过 LLM 生成式合成完全受上下文支持的 QA 对（正样本），用于微调小模型的归因能力。
RHIO：通过选择性掩码检索头，让 LLM 自身生成模拟真实错误的不忠实样本（负样本），并与忠实样本进行联合训练。</t>
        </is>
      </c>
      <c r="D39" t="inlineStr">
        <is>
          <t>SYNQA 通过给定选定的上下文句子，让大语言模型（LLM）生成完全由这些句子支持的问题-答案对，从而合成训练数据。这种策略利用 LLM 的生成优势，确保合成数据具有清晰的归因路径，并能够生成多样化的样本（包括实体中心和对话中心样本），帮助模型学习精确的归因能力，并在跨域场景下实现良好的泛化。关于 RHIO，提供的论文片段中未出现任何相关信息，因此无法说明其数据生成方式，也无法比较两种策略在提升归因能力上的不同。
来自: [2025.acl-long.828_On Synthesizing Data for Context Attribution in Question Answering, 第2页, 2025.acl-long.828_On Synthesizing Data for Context Attribution in Question Answering_chunk_006]  
来自: [2025.acl-long.828_On Synthesizing Data for Context Attribution in Question Answering, 第3页, 2025.acl-long.828_On Synthesizing Data for Context Attribution in Question Answering_chunk_012]</t>
        </is>
      </c>
      <c r="E39" t="n">
        <v>1</v>
      </c>
      <c r="F39" t="n">
        <v>1</v>
      </c>
      <c r="G39" t="n">
        <v>1</v>
      </c>
      <c r="H39" t="n">
        <v>1</v>
      </c>
      <c r="I39" t="n">
        <v>1</v>
      </c>
      <c r="J39" t="n">
        <v>0.667</v>
      </c>
      <c r="K39" t="b">
        <v>0</v>
      </c>
      <c r="L39" t="n">
        <v>1</v>
      </c>
      <c r="M39" t="n">
        <v>0</v>
      </c>
      <c r="N39" t="n">
        <v>1</v>
      </c>
    </row>
    <row r="40">
      <c r="A40" t="inlineStr">
        <is>
          <t>比较LongBench v2和AGENTGYM应用场景区别。</t>
        </is>
      </c>
      <c r="B40" t="inlineStr">
        <is>
          <t>跨论文比较类</t>
        </is>
      </c>
      <c r="C40" t="inlineStr">
        <is>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is>
      </c>
      <c r="D40" t="inlineStr">
        <is>
          <t>LongBench v2 是一个静态的长上下文理解与推理基准测试，用于评估大模型在单文档/多文档问答、长对话历史理解等场景下处理深度长文本的能力。AGENTGYM 则是一个交互式代理框架，用于在网页导航、文本游戏、具身任务等多种真实环境中评估和训练基于大模型的智能体，支持实时交互、探索和学习。
来自: [2025.acl-long.183_LongBench v2, 第1页, 2025.acl-long.183_LongBench v2_chunk_001]、[2025.acl-long.183_LongBench v2, 第1页, 2025.acl-long.183_LongBench v2_chunk_004]、[2025.acl-long.1355_AgentGym, 第1页, 2025.acl-long.1355_AgentGym_chunk_006]</t>
        </is>
      </c>
      <c r="E40" t="n">
        <v>1</v>
      </c>
      <c r="F40" t="n">
        <v>1</v>
      </c>
      <c r="G40" t="n">
        <v>1</v>
      </c>
      <c r="H40" t="n">
        <v>1</v>
      </c>
      <c r="I40" t="n">
        <v>1</v>
      </c>
      <c r="J40" t="n">
        <v>0.667</v>
      </c>
      <c r="K40" t="b">
        <v>0</v>
      </c>
      <c r="L40" t="n">
        <v>2</v>
      </c>
      <c r="M40" t="n">
        <v>0</v>
      </c>
      <c r="N40" t="n">
        <v>2</v>
      </c>
    </row>
    <row r="41">
      <c r="A41" t="inlineStr">
        <is>
          <t>Agentic Reasoning 与 AR-MCTS 分别采用什么核心机制来提升复杂推理能力？</t>
        </is>
      </c>
      <c r="B41" t="inlineStr">
        <is>
          <t>跨论文比较类</t>
        </is>
      </c>
      <c r="C41" t="inlineStr">
        <is>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is>
      </c>
      <c r="D41" t="inlineStr">
        <is>
          <t>Agentic Reasoning 通过集成外部 LLM 代理作为工具来增强推理，核心机制是调用 Web 搜索、代码执行和思维导图（Mind-Map）等辅助代理。AR-MCTS 则通过主动检索（Active Retrieval）与蒙特卡洛树搜索（MCTS）相结合，自动获取高质量的分步推理标注，并逐步对齐过程奖励模型（PRM）以实现过程级验证。
来自: [2025.acl-long.1383_Agentic Reasoning, 第2页, 2025.acl-long.1383_Agentic Reasoning_chunk_008]
来自: [2025.acl-long.180_Progressive Multimodal Reasoning via Active Retrieval, 第1页, 2025.acl-long.180_Progressive Multimodal Reasoning via Active Retrieval_chunk_000]</t>
        </is>
      </c>
      <c r="E41" t="n">
        <v>1</v>
      </c>
      <c r="F41" t="n">
        <v>1</v>
      </c>
      <c r="G41" t="n">
        <v>1</v>
      </c>
      <c r="H41" t="n">
        <v>1</v>
      </c>
      <c r="I41" t="n">
        <v>1</v>
      </c>
      <c r="J41" t="n">
        <v>0.8</v>
      </c>
      <c r="K41" t="b">
        <v>0</v>
      </c>
      <c r="L41" t="n">
        <v>2</v>
      </c>
      <c r="M41" t="n">
        <v>0</v>
      </c>
      <c r="N41" t="n">
        <v>1</v>
      </c>
    </row>
    <row r="42">
      <c r="A42" t="inlineStr">
        <is>
          <t>MAIN‑RAG 与 RAG‑Critic 在提升 RAG 系统可靠性方面分别采用了什么核心方法？</t>
        </is>
      </c>
      <c r="B42" t="inlineStr">
        <is>
          <t>跨论文比较类</t>
        </is>
      </c>
      <c r="C42" t="inlineStr">
        <is>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is>
      </c>
      <c r="D42" t="inlineStr">
        <is>
          <t>MAIN‑RAG 采用的核心方法是**训练无关的多智能体协同过滤与自适应阈值筛选**，通过多个 LLM 智能体对检索文档进行打分和过滤，动态调整相关性阈值以降低噪声。  
RAG‑Critic 采用的核心方法是**基于批评模型引导的智能体工作流**，通过错误挖掘与批评模型进行错误检测，并据此迭代式地执行错误驱动的纠正。
来自: [2025.acl-long.131_MAIN-RAG, 第1页, 2025.acl-long.131_MAIN-RAG_chunk_006]  
来自: [2025.acl-long.179_RAG-Critic, 第9页, 2025.acl-long.179_RAG-Critic_chunk_047]  
来自: [2025.acl-long.179_RAG-Critic, 第17页, 2025.acl-long.179_RAG-Critic_chunk_059]</t>
        </is>
      </c>
      <c r="E42" t="n">
        <v>0</v>
      </c>
      <c r="F42" t="n">
        <v>1</v>
      </c>
      <c r="G42" t="n">
        <v>1</v>
      </c>
      <c r="H42" t="n">
        <v>0.5</v>
      </c>
      <c r="I42" t="n">
        <v>0.5</v>
      </c>
      <c r="J42" t="n">
        <v>0.667</v>
      </c>
      <c r="K42" t="b">
        <v>0</v>
      </c>
      <c r="L42" t="n">
        <v>2</v>
      </c>
      <c r="M42" t="n">
        <v>0</v>
      </c>
      <c r="N42" t="n">
        <v>2</v>
      </c>
    </row>
    <row r="43">
      <c r="A43" t="inlineStr">
        <is>
          <t>在构建可靠的问答（QA）系统时，这QAEncoder与On Synthesizing Data for Context Attribution in Question Answering两篇论文分别侧重于优化系统工作流的哪个阶段？它们各自试图解决的核心痛点是什么？</t>
        </is>
      </c>
      <c r="B43" t="inlineStr">
        <is>
          <t>跨论文比较类</t>
        </is>
      </c>
      <c r="C43" t="inlineStr">
        <is>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is>
      </c>
      <c r="D43" t="inlineStr">
        <is>
          <t>QAEncoder 侧重于优化检索阶段，核心痛点是文档与查询之间的语义差距（document-query gap），即用户查询与待检索文档在词汇、句法、语义和内容层面的不匹配。  
On Synthesizing Data for Context Attribution in Question Answering 侧重于优化答案生成后的上下文归因阶段，核心痛点是上下文归因的鲁棒性不足以及对大规模人工标注数据的依赖。
来自: [2025.acl-long.217_QAEncoder, 第1页, 2025.acl-long.217_QAEncoder_chunk_002]  
来自: [2025.acl-long.217_QAEncoder, 第2页, 2025.acl-long.217_QAEncoder_chunk_007]  
来自: [2025.acl-long.828_On Synthesizing Data for Context Attribution in Question Answering, 第17页, 2025.acl-long.828_On Synthesizing Data for Context Attribution in Question Answering_chunk_071]  
来自: [2025.acl-long.828_On Synthesizing Data for Context Attribution in Question Answering, 第2页, 2025.acl-long.828_On Synthesizing Data for Context Attribution in Question Answering_chunk_008]</t>
        </is>
      </c>
      <c r="E43" t="n">
        <v>0</v>
      </c>
      <c r="F43" t="n">
        <v>0</v>
      </c>
      <c r="G43" t="n">
        <v>1</v>
      </c>
      <c r="H43" t="n">
        <v>0.25</v>
      </c>
      <c r="I43" t="n">
        <v>0.25</v>
      </c>
      <c r="J43" t="n">
        <v>0.8</v>
      </c>
      <c r="K43" t="b">
        <v>0</v>
      </c>
      <c r="L43" t="n">
        <v>2</v>
      </c>
      <c r="M43" t="n">
        <v>0</v>
      </c>
      <c r="N43" t="n">
        <v>1</v>
      </c>
    </row>
    <row r="44">
      <c r="A44" t="inlineStr">
        <is>
          <t>这10篇论文中哪一篇提出了名为"RAG-Guard"的安全防护框架？</t>
        </is>
      </c>
      <c r="B44" t="inlineStr">
        <is>
          <t>不可回答类</t>
        </is>
      </c>
      <c r="C44" t="inlineStr">
        <is>
          <t>无法回答。</t>
        </is>
      </c>
      <c r="D44" t="inlineStr">
        <is>
          <t>根据已有信息，无法回答此问题。</t>
        </is>
      </c>
      <c r="J44" t="n">
        <v>1</v>
      </c>
      <c r="K44" t="b">
        <v>1</v>
      </c>
      <c r="L44" t="n">
        <v>1</v>
      </c>
      <c r="M44" t="n">
        <v>0</v>
      </c>
      <c r="N44" t="n">
        <v>0</v>
      </c>
      <c r="O44" t="b">
        <v>1</v>
      </c>
    </row>
    <row r="45">
      <c r="A45" t="inlineStr">
        <is>
          <t>"ProLong"模型在训练过程中使用了哪种具体的优化器来处理长序列训练的梯度问题？</t>
        </is>
      </c>
      <c r="B45" t="inlineStr">
        <is>
          <t>不可回答类</t>
        </is>
      </c>
      <c r="C45" t="inlineStr">
        <is>
          <t>无法回答。</t>
        </is>
      </c>
      <c r="D45" t="inlineStr">
        <is>
          <t>根据已有信息，无法回答此问题。</t>
        </is>
      </c>
      <c r="J45" t="n">
        <v>1</v>
      </c>
      <c r="K45" t="b">
        <v>1</v>
      </c>
      <c r="L45" t="n">
        <v>1</v>
      </c>
      <c r="M45" t="n">
        <v>0</v>
      </c>
      <c r="N45" t="n">
        <v>0</v>
      </c>
      <c r="O45" t="b">
        <v>1</v>
      </c>
    </row>
    <row r="46">
      <c r="A46" t="inlineStr">
        <is>
          <t>SETR模型在训练时具体的训练时间是多少小时？</t>
        </is>
      </c>
      <c r="B46" t="inlineStr">
        <is>
          <t>不可回答类</t>
        </is>
      </c>
      <c r="C46" t="inlineStr">
        <is>
          <t>无法回答。</t>
        </is>
      </c>
      <c r="D46" t="inlineStr">
        <is>
          <t>根据已有信息，无法回答此问题。</t>
        </is>
      </c>
      <c r="J46" t="n">
        <v>1</v>
      </c>
      <c r="K46" t="b">
        <v>1</v>
      </c>
      <c r="L46" t="n">
        <v>1</v>
      </c>
      <c r="M46" t="n">
        <v>0</v>
      </c>
      <c r="N46" t="n">
        <v>0</v>
      </c>
      <c r="O46" t="b">
        <v>1</v>
      </c>
    </row>
    <row r="47">
      <c r="A47" t="inlineStr">
        <is>
          <t xml:space="preserve"> L-CiteEval基准中使用的NLI模型deberta-base-long-nli的准确率是多少？该模型在哪些具体数据集上进行了训练？</t>
        </is>
      </c>
      <c r="B47" t="inlineStr">
        <is>
          <t>不可回答类</t>
        </is>
      </c>
      <c r="C47" t="inlineStr">
        <is>
          <t>无法回答。</t>
        </is>
      </c>
      <c r="D47" t="inlineStr">
        <is>
          <t>根据已有信息，无法回答此问题。</t>
        </is>
      </c>
      <c r="J47" t="n">
        <v>1</v>
      </c>
      <c r="K47" t="b">
        <v>1</v>
      </c>
      <c r="L47" t="n">
        <v>1</v>
      </c>
      <c r="M47" t="n">
        <v>0</v>
      </c>
      <c r="N47" t="n">
        <v>0</v>
      </c>
      <c r="O47" t="b">
        <v>1</v>
      </c>
    </row>
    <row r="48">
      <c r="A48" t="inlineStr">
        <is>
          <t>论文中是否提到了SYNQA方法在医疗领域的具体应用案例？</t>
        </is>
      </c>
      <c r="B48" t="inlineStr">
        <is>
          <t>不可回答类</t>
        </is>
      </c>
      <c r="C48" t="inlineStr">
        <is>
          <t>无法回答。</t>
        </is>
      </c>
      <c r="D48" t="inlineStr">
        <is>
          <t>根据已有信息，无法回答此问题。</t>
        </is>
      </c>
      <c r="J48" t="n">
        <v>1</v>
      </c>
      <c r="K48" t="b">
        <v>1</v>
      </c>
      <c r="L48" t="n">
        <v>1</v>
      </c>
      <c r="M48" t="n">
        <v>0</v>
      </c>
      <c r="N48" t="n">
        <v>0</v>
      </c>
      <c r="O48" t="b">
        <v>1</v>
      </c>
    </row>
    <row r="49">
      <c r="A49" t="inlineStr">
        <is>
          <t>论文中是否提供了RHIO方法在实时应用场景中的延迟测试数据？</t>
        </is>
      </c>
      <c r="B49" t="inlineStr">
        <is>
          <t>不可回答类</t>
        </is>
      </c>
      <c r="C49" t="inlineStr">
        <is>
          <t>无法回答。</t>
        </is>
      </c>
      <c r="D49" t="inlineStr">
        <is>
          <t>根据已有信息，无法回答此问题。</t>
        </is>
      </c>
      <c r="J49" t="n">
        <v>1</v>
      </c>
      <c r="K49" t="b">
        <v>1</v>
      </c>
      <c r="L49" t="n">
        <v>1</v>
      </c>
      <c r="M49" t="n">
        <v>0</v>
      </c>
      <c r="N49" t="n">
        <v>0</v>
      </c>
      <c r="O49" t="b">
        <v>1</v>
      </c>
    </row>
    <row r="50">
      <c r="A50" t="inlineStr">
        <is>
          <t>Agentic Reasoning框架中使用的Mind-Map agent的具体神经网络架构是什么？</t>
        </is>
      </c>
      <c r="B50" t="inlineStr">
        <is>
          <t>不可回答类</t>
        </is>
      </c>
      <c r="C50" t="inlineStr">
        <is>
          <t>无法回答。</t>
        </is>
      </c>
      <c r="D50" t="inlineStr">
        <is>
          <t>根据已有信息，无法回答此问题。</t>
        </is>
      </c>
      <c r="J50" t="n">
        <v>1</v>
      </c>
      <c r="K50" t="b">
        <v>1</v>
      </c>
      <c r="L50" t="n">
        <v>1</v>
      </c>
      <c r="M50" t="n">
        <v>0</v>
      </c>
      <c r="N50" t="n">
        <v>0</v>
      </c>
      <c r="O50" t="b">
        <v>1</v>
      </c>
    </row>
    <row r="51">
      <c r="A51" t="inlineStr">
        <is>
          <t>在CypherBench基准测试中，每个问题模板具体包含多少个训练样本？</t>
        </is>
      </c>
      <c r="B51" t="inlineStr">
        <is>
          <t>不可回答类</t>
        </is>
      </c>
      <c r="C51" t="inlineStr">
        <is>
          <t>无法回答。</t>
        </is>
      </c>
      <c r="D51" t="inlineStr">
        <is>
          <t>根据已有信息，无法回答此问题。</t>
        </is>
      </c>
      <c r="J51" t="n">
        <v>1</v>
      </c>
      <c r="K51" t="b">
        <v>1</v>
      </c>
      <c r="L51" t="n">
        <v>1</v>
      </c>
      <c r="M51" t="n">
        <v>0</v>
      </c>
      <c r="N51" t="n">
        <v>0</v>
      </c>
      <c r="O51" t="b">
        <v>1</v>
      </c>
    </row>
    <row r="53">
      <c r="A53" t="inlineStr">
        <is>
          <t>【总体平均值】</t>
        </is>
      </c>
      <c r="E53">
        <f>AVERAGEIFS(E2:E51,K2:K51,FALSE)</f>
        <v/>
      </c>
      <c r="F53">
        <f>AVERAGEIFS(F2:F51,K2:K51,FALSE)</f>
        <v/>
      </c>
      <c r="G53">
        <f>AVERAGEIFS(G2:G51,K2:K51,FALSE)</f>
        <v/>
      </c>
      <c r="H53">
        <f>AVERAGEIFS(H2:H51,K2:K51,FALSE)</f>
        <v/>
      </c>
      <c r="I53">
        <f>AVERAGEIFS(I2:I51,K2:K51,FALSE)</f>
        <v/>
      </c>
      <c r="J53">
        <f>AVERAGE(J2:J51)</f>
        <v/>
      </c>
      <c r="L53">
        <f>AVERAGE(L2:L51)</f>
        <v/>
      </c>
      <c r="M53">
        <f>AVERAGE(M2:M51)</f>
        <v/>
      </c>
      <c r="N53">
        <f>AVERAGE(N2:N51)</f>
        <v/>
      </c>
    </row>
    <row r="54">
      <c r="A54" t="inlineStr">
        <is>
          <t>【定义类平均值】</t>
        </is>
      </c>
      <c r="B54" t="inlineStr">
        <is>
          <t>定义类</t>
        </is>
      </c>
      <c r="E54">
        <f>AVERAGEIFS(E2:E51,B2:B51,"定义类",K2:K51,FALSE)</f>
        <v/>
      </c>
      <c r="F54">
        <f>AVERAGEIFS(F2:F51,B2:B51,"定义类",K2:K51,FALSE)</f>
        <v/>
      </c>
      <c r="G54">
        <f>AVERAGEIFS(G2:G51,B2:B51,"定义类",K2:K51,FALSE)</f>
        <v/>
      </c>
      <c r="H54">
        <f>AVERAGEIFS(H2:H51,B2:B51,"定义类",K2:K51,FALSE)</f>
        <v/>
      </c>
      <c r="I54">
        <f>AVERAGEIFS(I2:I51,B2:B51,"定义类",K2:K51,FALSE)</f>
        <v/>
      </c>
      <c r="J54">
        <f>AVERAGEIF(B2:B51,"定义类",J2:J51)</f>
        <v/>
      </c>
      <c r="L54">
        <f>AVERAGEIF(B2:B51,"定义类",L2:L51)</f>
        <v/>
      </c>
      <c r="M54">
        <f>AVERAGEIF(B2:B51,"定义类",M2:M51)</f>
        <v/>
      </c>
      <c r="N54">
        <f>AVERAGEIF(B2:B51,"定义类",N2:N51)</f>
        <v/>
      </c>
    </row>
    <row r="55">
      <c r="A55" t="inlineStr">
        <is>
          <t>【方法细节类平均值】</t>
        </is>
      </c>
      <c r="B55" t="inlineStr">
        <is>
          <t>方法细节类</t>
        </is>
      </c>
      <c r="E55">
        <f>AVERAGEIFS(E2:E51,B2:B51,"方法细节类",K2:K51,FALSE)</f>
        <v/>
      </c>
      <c r="F55">
        <f>AVERAGEIFS(F2:F51,B2:B51,"方法细节类",K2:K51,FALSE)</f>
        <v/>
      </c>
      <c r="G55">
        <f>AVERAGEIFS(G2:G51,B2:B51,"方法细节类",K2:K51,FALSE)</f>
        <v/>
      </c>
      <c r="H55">
        <f>AVERAGEIFS(H2:H51,B2:B51,"方法细节类",K2:K51,FALSE)</f>
        <v/>
      </c>
      <c r="I55">
        <f>AVERAGEIFS(I2:I51,B2:B51,"方法细节类",K2:K51,FALSE)</f>
        <v/>
      </c>
      <c r="J55">
        <f>AVERAGEIF(B2:B51,"方法细节类",J2:J51)</f>
        <v/>
      </c>
      <c r="L55">
        <f>AVERAGEIF(B2:B51,"方法细节类",L2:L51)</f>
        <v/>
      </c>
      <c r="M55">
        <f>AVERAGEIF(B2:B51,"方法细节类",M2:M51)</f>
        <v/>
      </c>
      <c r="N55">
        <f>AVERAGEIF(B2:B51,"方法细节类",N2:N51)</f>
        <v/>
      </c>
    </row>
    <row r="56">
      <c r="A56" t="inlineStr">
        <is>
          <t>【实验结果类平均值】</t>
        </is>
      </c>
      <c r="B56" t="inlineStr">
        <is>
          <t>实验结果类</t>
        </is>
      </c>
      <c r="E56">
        <f>AVERAGEIFS(E2:E51,B2:B51,"实验结果类",K2:K51,FALSE)</f>
        <v/>
      </c>
      <c r="F56">
        <f>AVERAGEIFS(F2:F51,B2:B51,"实验结果类",K2:K51,FALSE)</f>
        <v/>
      </c>
      <c r="G56">
        <f>AVERAGEIFS(G2:G51,B2:B51,"实验结果类",K2:K51,FALSE)</f>
        <v/>
      </c>
      <c r="H56">
        <f>AVERAGEIFS(H2:H51,B2:B51,"实验结果类",K2:K51,FALSE)</f>
        <v/>
      </c>
      <c r="I56">
        <f>AVERAGEIFS(I2:I51,B2:B51,"实验结果类",K2:K51,FALSE)</f>
        <v/>
      </c>
      <c r="J56">
        <f>AVERAGEIF(B2:B51,"实验结果类",J2:J51)</f>
        <v/>
      </c>
      <c r="L56">
        <f>AVERAGEIF(B2:B51,"实验结果类",L2:L51)</f>
        <v/>
      </c>
      <c r="M56">
        <f>AVERAGEIF(B2:B51,"实验结果类",M2:M51)</f>
        <v/>
      </c>
      <c r="N56">
        <f>AVERAGEIF(B2:B51,"实验结果类",N2:N51)</f>
        <v/>
      </c>
    </row>
    <row r="57">
      <c r="A57" t="inlineStr">
        <is>
          <t>【跨论文比较类平均值】</t>
        </is>
      </c>
      <c r="B57" t="inlineStr">
        <is>
          <t>跨论文比较类</t>
        </is>
      </c>
      <c r="E57">
        <f>AVERAGEIFS(E2:E51,B2:B51,"跨论文比较类",K2:K51,FALSE)</f>
        <v/>
      </c>
      <c r="F57">
        <f>AVERAGEIFS(F2:F51,B2:B51,"跨论文比较类",K2:K51,FALSE)</f>
        <v/>
      </c>
      <c r="G57">
        <f>AVERAGEIFS(G2:G51,B2:B51,"跨论文比较类",K2:K51,FALSE)</f>
        <v/>
      </c>
      <c r="H57">
        <f>AVERAGEIFS(H2:H51,B2:B51,"跨论文比较类",K2:K51,FALSE)</f>
        <v/>
      </c>
      <c r="I57">
        <f>AVERAGEIFS(I2:I51,B2:B51,"跨论文比较类",K2:K51,FALSE)</f>
        <v/>
      </c>
      <c r="J57">
        <f>AVERAGEIF(B2:B51,"跨论文比较类",J2:J51)</f>
        <v/>
      </c>
      <c r="L57">
        <f>AVERAGEIF(B2:B51,"跨论文比较类",L2:L51)</f>
        <v/>
      </c>
      <c r="M57">
        <f>AVERAGEIF(B2:B51,"跨论文比较类",M2:M51)</f>
        <v/>
      </c>
      <c r="N57">
        <f>AVERAGEIF(B2:B51,"跨论文比较类",N2:N51)</f>
        <v/>
      </c>
    </row>
    <row r="58">
      <c r="A58" t="inlineStr">
        <is>
          <t>【不可回答类平均值】</t>
        </is>
      </c>
      <c r="B58" t="inlineStr">
        <is>
          <t>不可回答类</t>
        </is>
      </c>
      <c r="E58">
        <f>AVERAGEIFS(E2:E51,B2:B51,"不可回答类",K2:K51,FALSE)</f>
        <v/>
      </c>
      <c r="F58">
        <f>AVERAGEIFS(F2:F51,B2:B51,"不可回答类",K2:K51,FALSE)</f>
        <v/>
      </c>
      <c r="G58">
        <f>AVERAGEIFS(G2:G51,B2:B51,"不可回答类",K2:K51,FALSE)</f>
        <v/>
      </c>
      <c r="H58">
        <f>AVERAGEIFS(H2:H51,B2:B51,"不可回答类",K2:K51,FALSE)</f>
        <v/>
      </c>
      <c r="I58">
        <f>AVERAGEIFS(I2:I51,B2:B51,"不可回答类",K2:K51,FALSE)</f>
        <v/>
      </c>
      <c r="J58">
        <f>AVERAGEIF(B2:B51,"不可回答类",J2:J51)</f>
        <v/>
      </c>
      <c r="L58">
        <f>AVERAGEIF(B2:B51,"不可回答类",L2:L51)</f>
        <v/>
      </c>
      <c r="M58">
        <f>AVERAGEIF(B2:B51,"不可回答类",M2:M51)</f>
        <v/>
      </c>
      <c r="N58">
        <f>AVERAGEIF(B2:B51,"不可回答类",N2:N51)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2026-06-02T13:27:16Z</dcterms:created>
  <dcterms:modified xsi:type="dcterms:W3CDTF">2026-06-02T13:27:16Z</dcterms:modified>
</cp:coreProperties>
</file>