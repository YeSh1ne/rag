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FC1AEBF4-E0D4-44EF-A595-F7695626CAEF}"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<sst xmlns="http://schemas.openxmlformats.org/spreadsheetml/2006/main" count="226" uniqueCount="162">
  <si>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</si>
  <si>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</si>
  <si>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</si>
  <si>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</si>
  <si>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</si>
  <si>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</si>
  <si>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</si>
  <si>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</si>
  <si>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</si>
  <si>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</si>
  <si>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</si>
  <si>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</si>
  <si>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</si>
  <si>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</si>
  <si>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</si>
  <si>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</si>
  <si>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</si>
  <si>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</si>
  <si>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Fine-tuning）、强化学习（Reinforcement Learning）和测试时计算（Test-time Compute）。
来自: [A Survey of Post-Training Scaling in Large Language Models, 第2页, A Survey of Post-Training Scaling in Large Language Models_chunk_002]
来自: [A Survey of Post-Training Scaling in Large Language Models, 第1页, A Survey of Post-Training Scaling in Large Language Models_chunk_001]</t>
  </si>
  <si>
    <t>在SafeRAG中"silver noise"的定义是什么？</t>
  </si>
  <si>
    <t>首先，我们定义了“银色噪声”，它指的是仅部分包含答案的证据文本。此类噪声能够绕过大多数安全过滤机制，从而削弱 RAG 的多样性。</t>
  </si>
  <si>
    <t>Silver noise是指部分包含答案的证据。
来自: [SafeRAG: Benchmarking Security in Retrieval-Augmented Generation of Large Language Model, 第1页, SafeRAG: Benchmarking Security in Retrieval-Augmented Generation of Large Language Model_chunk_001]</t>
  </si>
  <si>
    <t>RAG噪声被分为哪两类？</t>
  </si>
  <si>
    <t>RAG噪声被分为有益噪声和有害噪声。</t>
  </si>
  <si>
    <t>RAG噪声被分为有益噪声和有害噪声两类。
来自: [Pandora's Box or Aladdin's Lamp: A Comprehensive Analysis Revealing the Role of RAG Noise in Large Language Models, 第2页, Pandora's Box or Aladdin's Lamp: A Comprehensive Analysis Revealing the Role of RAG Noise in Large Language Models_chunk_001]</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</si>
  <si>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</si>
  <si>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</si>
  <si>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用于评估长上下文语言模型（LCLMs）长上下文引用能力的基准。它要求模型不仅从长文档中检索特定键，还要识别出所有引用该键的文档索引，强调键与文档之间的上下文关系，而非简单的检索匹配。
来自: [Ref-Long: Benchmarking the Long-context Referencing Capability of Long-context Language Models, 第1页, Ref-Long: Benchmarking the Long-context Referencing Capability of Long-context Language Models_chunk_000]
来自: [Ref-Long: Benchmarking the Long-context Referencing Capability of Long-context Language Models, 第2页, Ref-Long: Benchmarking the Long-context Referencing Capability of Long-context Language Models_chunk_001]</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</si>
  <si>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</si>
  <si>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</si>
  <si>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SYNQA是一种生成式策略，通过给定选定的上下文句子，让大语言模型生成完全由这些句子支持的问答对，从而合成上下文归因数据。
来自: [On Synthesizing Data for Context Attribution in Question Answering, 第1页, On Synthesizing Data for Context Attribution in Question Answering_chunk_000]</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</si>
  <si>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</si>
  <si>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</si>
  <si>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AgenticLU是一个通过将目标自澄清与上下文接地整合到智能体工作流中来增强大语言模型对长上下文查询理解的框架。
来自: [Self-Taught Agentic Long-Context Understanding, 第1页, Self-Taught Agentic Long-Context Understanding_chunk_000]</t>
  </si>
  <si>
    <t>什么是Agentic Reasoning框架?</t>
  </si>
  <si>
    <t>Agentic Reasoning是一个通过集成外部工具使用代理来增强大型语言模型推理的框架。</t>
  </si>
  <si>
    <t>Agentic Reasoning是一个通过集成外部基于LLM的代理作为工具来增强推理的框架。
来自: [Agentic Reasoning: A Streamlined Framework for Enhancing LLM Reasoning with Agentic Tools, 第1页, Agentic Reasoning: A Streamlined Framework for Enhancing LLM Reasoning with Agentic Tools_chunk_001]</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</si>
  <si>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</si>
  <si>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</si>
  <si>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增强的难度，(iii) 真实RAG查询，以及 (iv) 准确的标注。
来自: [REAL-MM-RAG: A Real-World Multi-Modal Retrieval Benchmark, 第1页, REAL-MM-RAG: A Real-World Multi-Modal Retrieval Benchmark_chunk_000]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</si>
  <si>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</si>
  <si>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</si>
  <si>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对不完美的检索增强具有鲁棒性，同时保留检索可靠时的信息基础作用，通过区分LLM内部知识与外部检索段落中的一致和冲突信息、评估其可靠性并整合可信信息来克服知识冲突。其用途是提升RAG系统在检索质量不佳时的鲁棒性和可信度，即使在所有检索段落均无帮助的最坏情况下也能达到与无检索模式相当甚至更优的性能。
来自: [ASTUTE RAG: Overcoming Imperfect Retrieval Augmentation and Knowledge Conflicts for Large Language Models, 第2页, ASTUTE RAG: Overcoming Imperfect Retrieval Augmentation and Knowledge Conflicts for Large Language Models_chunk_002]
来自: [ASTUTE RAG: Overcoming Imperfect Retrieval Augmentation and Knowledge Conflicts for Large Language Models, 第7页, ASTUTE RAG: Overcoming Imperfect Retrieval Augmentation and Knowledge Conflicts for Large Language Models_chunk_008]
来自: [ASTUTE RAG: Overcoming Imperfect Retrieval Augmentation and Knowledge Conflicts for Large Language Models, 第8页, ASTUTE RAG: Overcoming Imperfect Retrieval Augmentation and Knowledge Conflicts for Large Language Models_chunk_009]</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</si>
  <si>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</si>
  <si>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</si>
  <si>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L-CiteEval是一个开箱即用的评估套件，包含多任务长上下文基准测试和相应的评估流水线。
来自: [L-CiteEval: A Suite for Evaluating Fidelity of Long-context Models, 第8页, L-CiteEval: A Suite for Evaluating Fidelity of Long-context Models_chunk_013]</t>
  </si>
  <si>
    <t xml:space="preserve"> LongBench v2基准测试包含多少个问题？上下文长度范围是多少？</t>
  </si>
  <si>
    <t>LongBench v2包含503个具有挑战性的多项选择题，上下文长度范围从8,000到200万个单词。</t>
  </si>
  <si>
    <t>LongBench v2 包含 503 个多项选择题，上下文长度范围从 8k 到 2M 词。
来自: [LongBench v2: Towards Deeper Understanding and Reasoning on Realistic Long-context Multitasks, 第1页, LongBench v2: Towards Deeper Understanding and Reasoning on Realistic Long-context Multitasks_chunk_000]</t>
  </si>
  <si>
    <t>RHIO框架的三个主要组成部分是什么？</t>
  </si>
  <si>
    <t>RHIO框架包含三个主要组件：1.不忠实数据增强, 2.忠实度感知调优, 3.自诱导解码</t>
  </si>
  <si>
    <t>RHIO框架的三个主要组成部分是：(1) 通过选择性屏蔽检索头来增强不忠实样本，以模拟模型内在的错误；(2) 引入控制令牌（[POS]和[NEG]）进行联合训练，使模型能够显式区分忠实与不忠实的生成；(3) 利用控制令牌自诱导对比输出，并通过对比解码放大两者差异，进一步提升忠实性。
来自: [Improving Contextual Faithfulness of Large Language Models via Retrieval Heads-Induced Optimization, 第1页, Improving Contextual Faithfulness of Large Language Models via Retrieval Heads-Induced Optimization_chunk_000]
来自: [Improving Contextual Faithfulness of Large Language Models via Retrieval Heads-Induced Optimization, 第1页, Improving Contextual Faithfulness of Large Language Models via Retrieval Heads-Induced Optimization_chunk_001]</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</si>
  <si>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</si>
  <si>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</si>
  <si>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</si>
  <si>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在监督微调阶段，论文作者发现仅使用短上下文指令数据集（如UltraChat）能够在长上下文任务上取得最佳性能。
来自: [How to Train Long-Context Language Models (Effectively), 第22页, How to Train Long-Context Language Models (Effectively)_chunk_021]
来自: [How to Train Long-Context Language Models (Effectively), 第6页, How to Train Long-Context Language Models (Effectively)_chunk_007]</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</si>
  <si>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</si>
  <si>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</si>
  <si>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ASTUTE RAG 中的知识整合（knowledge consolidation）过程包含三个主要步骤：识别并聚类一致信息、检测并分离冲突信息、过滤无关信息。
来自: [ASTUTE RAG: Overcoming Imperfect Retrieval Augmentation and Knowledge Conflicts for Large Language Models, 第5页, ASTUTE RAG: Overcoming Imperfect Retrieval Augmentation and Knowledge Conflicts for Large Language Models_chunk_005]
来自: [ASTUTE RAG: Overcoming Imperfect Retrieval Augmentation and Knowledge Conflicts for Large Language Models, 第13页, ASTUTE RAG: Overcoming Imperfect Retrieval Augmentation and Knowledge Conflicts for Large Language Models_chunk_010]</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</si>
  <si>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</si>
  <si>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</si>
  <si>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通过将推理过程拆分为离线与在线两个阶段来降低在线延迟：离线阶段预先对语料库中的文档执行层次化文档结构化任务；在线阶段仅需进行查询分析和自适应精炼，处理数百个输入令牌并生成数十个输出令牌，使得整体在线延迟仅为标准设置的约25%。
来自: [Hierarchical Document Refinement for Long-context Retrieval-augmented Generation, 第6页, Hierarchical Document Refinement for Long-context Retrieval-augmented Generation_chunk_006]
来自: [Hierarchical Document Refinement for Long-context Retrieval-augmented Generation, 第15页, Hierarchical Document Refinement for Long-context Retrieval-augmented Generation_chunk_013]</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</si>
  <si>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</si>
  <si>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</si>
  <si>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对用户查询进行改写和脱敏处理，剥离其中的敏感信息（如个人身份信息），然后将去隐私的查询发送给云端大模型；云端大模型仅生成相关的证据和知识图谱并返回，本地小模型再基于这些结构化知识生成最终答案。这样，用户的原始隐私数据不会直接暴露给云端，从而在利用大模型能力的同时保护用户隐私。
来自: [DRAG: Distilling RAG for SLMs from LLMs to Transfer Knowledge and Mitigate Hallucination via Evidence and Graph-based Distillation, 第4页, DRAG: Distilling RAG for SLMs from LLMs to Transfer Knowledge and Mitigate Hallucination via Evidence and Graph-based Distillation_chunk_004]
来自: [DRAG: Distilling RAG for SLMs from LLMs to Transfer Knowledge and Mitigate Hallucination via Evidence and Graph-based Distillation, 第14页, DRAG: Distilling RAG for SLMs from LLMs to Transfer Knowledge and Mitigate Hallucination via Evidence and Graph-based Distillation_chunk_017]</t>
  </si>
  <si>
    <t>简述 Think&amp; Cite 框架中 SG-MCTS 的工作流程及其步骤。</t>
  </si>
  <si>
    <t>SG-MCTS利用LLMs的自反思能力来推理MCTS的中间状态，以指导树扩展过程。在每次迭代中，SG-MCTS 遵循四个步骤，即选择、反思引导的扩展、评估和反向传播。</t>
  </si>
  <si>
    <t>SG-MCTS 的工作流程包含四个步骤：选择、反思引导的扩展、评估和反向传播。在选择阶段，利用 UCT 算法从搜索树中选出最优节点。在反思引导的扩展阶段，先通过“思考”生成初始查询并检索段落，再通过“反思”识别查询中的错误并重新制定查询以获取更相关的段落，最后“表达”句子并“引用”相关段落，从而生成子节点。在评估阶段，使用进度奖励模型计算新节点的预期奖励，该奖励由生成进度奖励和归因进度奖励两部分组成。最后，通过反向传播将奖励值沿路径向上更新各节点的统计信息。
来自: [Think&amp;Cite: Improving Attributed Text Generation with Self-Guided Tree Search and Progress Reward Modeling, 第3页, Think&amp;Cite: Improving Attributed Text Generation with Self-Guided Tree Search and Progress Reward Modeling_chunk_002]
来自: [Think&amp;Cite: Improving Attributed Text Generation with Self-Guided Tree Search and Progress Reward Modeling, 第4页, Think&amp;Cite: Improving Attributed Text Generation with Self-Guided Tree Search and Progress Reward Modeling_chunk_003]</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</si>
  <si>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</si>
  <si>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</si>
  <si>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的段落选择提示引导的关键过程包含以下三个步骤：
1. 列举回答查询所需的关键信息需求。
2. 为每个信息需求找到包含相关信息的段落。
3. 选择一个段落子集，该子集能共同提供最全面和多样化的信息覆盖，以有效回答查询。
来自: [Shifting from Ranking to Set Selection for Retrieval Augmented Generation, 第3页, Shifting from Ranking to Set Selection for Retrieval Augmented Generation_chunk_003]</t>
  </si>
  <si>
    <t>Meta-Bench基准测试中，α参数的最优范围是多少？这个参数的作用是什么？</t>
  </si>
  <si>
    <t>α参数的最优范围在0.65到0.8之间。这个参数用于平衡工具描述和参数描述在工具检索中的权重。</t>
  </si>
  <si>
    <t>在Meta-Tool论文中，α参数用于计算工具查询（tool query）与工具值（tool value）之间的相似度，具体结合了工具描述和参数描述的嵌入相似度。论文中直接将该参数的值设定为0.5，并未讨论其最优范围。
来自: [Meta-Tool: Unleash Open-World Function Calling Capabilities of General-Purpose Large Language Models, 第14页, Meta-Tool: Unleash Open-World Function Calling Capabilities of General-Purpose Large Language Models_chunk_013]</t>
  </si>
  <si>
    <t>CypherBench 通过将 RDF 图转换为多个领域特定的属性图（domain-specific property graphs）来实现这一过程，并使用 Cypher 语言对其进行查询。</t>
  </si>
  <si>
    <t>CypherBench 从 RDF 图生成领域特定属性图主要分为两步：首先，人工为特定领域策划属性图模式，并建立该模式与 Wikidata 标识符的映射；然后，自动化的 RDF 到属性图转换引擎根据策划好的模式，向 Wikidata 发出 SPARQL 查询，获取所有符合该模式的实体和关系，并将其转换为目标属性图中的关系。
来自: [CYPHERBENCH: Towards Precise Retrieval over Full-scale Modern Knowledge Graphs in the LLM Era, 第4页, CYPHERBENCH: Towards Precise Retrieval over Full-scale Modern Knowledge Graphs in the LLM Era_chunk_004]
在转换过程中，引擎会处理数据类型转换、单位标准化和排名过滤等，以生成干净、模式强制执行的属性图。
来自: [CYPHERBENCH: Towards Precise Retrieval over Full-scale Modern Knowledge Graphs in the LLM Era, 第3页, CYPHERBENCH: Towards Precise Retrieval over Full-scale Modern Knowledge Graphs in the LLM Era_chunk_003]
来自: [CYPHERBENCH: Towards Precise Retrieval over Full-scale Modern Knowledge Graphs in the LLM Era, 第4页, CYPHERBENCH: Towards Precise Retrieval over Full-scale Modern Knowledge Graphs in the LLM Era_chunk_004]</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</si>
  <si>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</si>
  <si>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</si>
  <si>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包括：第一阶段，仅基于医疗笔记进行理由蒸馏，使小语言模型建立文本临床推理基础；第二阶段，引入知识增强注意力模块，注入结构化医学知识并蒸馏基于实验室检验的理由；第三阶段，整合医疗笔记、实验室检验和领域知识进行全多模态理由蒸馏，生成模态一致的临床理由。
来自: [Knowledge-Augmented Multimodal Clinical Rationale Generation for Disease Diagnosis with Small Language Models, 第3页, Knowledge-Augmented Multimodal Clinical Rationale Generation for Disease Diagnosis with Small Language Models_chunk_003]
来自: [Knowledge-Augmented Multimodal Clinical Rationale Generation for Disease Diagnosis with Small Language Models, 第4页, Knowledge-Augmented Multimodal Clinical Rationale Generation for Disease Diagnosis with Small Language Models_chunk_004]</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</si>
  <si>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</si>
  <si>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</si>
  <si>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QAEncoder通过估计潜在查询在嵌入空间中的期望作为文档嵌入的稳健替代，并附加文档指纹来重新引入文档的独特特征，从而解决文档-查询差距问题。
来自: [QAEncoder: Towards Aligned Representation Learning in Question Answering Systems, 第1页, QAEncoder: Towards Aligned Representation Learning in Question Answering Systems_chunk_000]</t>
  </si>
  <si>
    <t>在 HALOGEN 的文本简化任务中，如何验证模型生成的简化文本是否忠实于原文？</t>
  </si>
  <si>
    <t>先用 GPT-3.5-turbo 将简化文本分解为独立的原子事实，再用 Llama-2-70B-chat 判断每个原子事实是否被原文蕴含。</t>
  </si>
  <si>
    <t>在文本简化任务中，HALOGEN 采用与文本摘要任务相同的验证流程：首先使用 GPT-3.5 将模型生成的简化文本分解为独立的原子事实，然后使用 Llama-2-70B 对每个原子事实进行蕴含判断，以确定其是否忠实于原文。
来自: [HALOGEN : Fantastic LLM Hallucinations and Where to Find Them, 第3页, HALOGEN : Fantastic LLM Hallucinations and Where to Find Them_chunk_003]</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</si>
  <si>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</si>
  <si>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</si>
  <si>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</si>
  <si>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scenario下，GPT-4o的CITEEVAL-AUTO评分（0.949）高于Llama-3-70B（0.926）；而在Full scenario下，Llama-3-70B的评分（0.909）反超GPT-4o（0.898）。这种差异主要源于GPT-4o倾向于生成更长的回复，而更长的回复更容易遗漏引用，导致其在考虑引用完整性的Full scenario中评分下降更多。
来自: [CiteEval: Principle-Driven Citation Evaluation for Source Attribution, 第7页, CiteEval: Principle-Driven Citation Evaluation for Source Attribution_chunk_007]
来自: [CiteEval: Principle-Driven Citation Evaluation for Source Attribution, 第7页, CiteEval: Principle-Driven Citation Evaluation for Source Attribution_chunk_008]</t>
  </si>
  <si>
    <t>"FaithfulRAG"在FaithEval数据集上使用Mistral-7B作为backbone时的准确率是多少？相比最强基线提高了多少？</t>
  </si>
  <si>
    <t>81.7%，比最强基线(KRE的73.2%)提高了8.5%。</t>
  </si>
  <si>
    <t>FaithfulRAG在FaithEval数据集上使用Mistral-7B作为backbone时的准确率为81.7%，相比最强基线（KRE的73.2%）提高了8.5%。
来自: [FaithfulRAG: Fact-Level Conflict Modeling for Context-Faithful Retrieval-Augmented Generation, 第7页, FaithfulRAG: Fact-Level Conflict Modeling for Context-Faithful Retrieval-Augmented Generation_chunk_009]</t>
  </si>
  <si>
    <t>RankCoT 相对于 vanilla RAG 模型的表现如何？这说明了什么？</t>
  </si>
  <si>
    <t>RankCoT 相比 vanilla RAG 模型有 2.5% 的提升，表明它在提供更有意义的细化方面有效，有助于 LLM 更好地回答问题。</t>
  </si>
  <si>
    <t>RankCoT 在所有测试的 RAG 配置中均优于 vanilla RAG 模型。以 Llama3-8B-Instruct 为骨干时，平均性能提升约 2.5%（如从 42.84 到 46.93）；在 MiniCPM3-4B 和 Qwen2.5-14B-Instruct 上分别提升 7.6% 和 4.1%。这说明 RankCoT 能有效精炼检索知识，提供更有意义的精炼结果，帮助 LLM 更准确地回答问题，且在不同规模的模型中均保持有效性。
来自: [RankCoT: Refining Knowledge for Retrieval-Augmented Generation through Ranking Chain-of-Thoughts, 第6页, RankCoT: Refining Knowledge for Retrieval-Augmented Generation through Ranking Chain-of-Thoughts_chunk_008]
来自: [RankCoT: Refining Knowledge for Retrieval-Augmented Generation through Ranking Chain-of-Thoughts, 第5页, RankCoT: Refining Knowledge for Retrieval-Augmented Generation through Ranking Chain-of-Thoughts_chunk_007]
来自: [RankCoT: Refining Knowledge for Retrieval-Augmented Generation through Ranking Chain-of-Thoughts, 第13页, RankCoT: Refining Knowledge for Retrieval-Augmented Generation through Ranking Chain-of-Thoughts_chunk_013]</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</si>
  <si>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</si>
  <si>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</si>
  <si>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LLM（如 GPT-4）生成事实的幻觉率范围为 3% 到 86%，具体数值取决于任务领域。
来自: [HALOGEN : Fantastic LLM Hallucinations and Where to Find Them, 第1页, HALOGEN : Fantastic LLM Hallucinations and Where to Find Them_chunk_000]
来自: [HALOGEN : Fantastic LLM Hallucinations and Where to Find Them, 第5页, HALOGEN : Fantastic LLM Hallucinations and Where to Find Them_chunk_005]</t>
  </si>
  <si>
    <t xml:space="preserve"> 在LongBench v2基准测试中，人类专家在15分钟时间限制下的准确率是多少？</t>
  </si>
  <si>
    <t>人类专家在15分钟时间限制下的准确率为53.7%。</t>
  </si>
  <si>
    <t>人类专家在15分钟时间限制下的准确率为53.7%。
来自: [LongBench v2: Towards Deeper Understanding and Reasoning on Realistic Long-context Multitasks, 第1页, LongBench v2: Towards Deeper Understanding and Reasoning on Realistic Long-context Multitasks_chunk_000]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</si>
  <si>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</si>
  <si>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</si>
  <si>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AGENTSTAR在WebShop、ALFWorld和BabyAI任务上的表现分别比GPT-4-Turbo高出61.00、20.50和9.87个百分点。
来自: [AGENTGYM: Evaluating and Training Large Language Model-based Agents across Diverse Environments, 第7页, AGENTGYM: Evaluating and Training Large Language Model-based Agents across Diverse Environments_chunk_009]</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</si>
  <si>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</si>
  <si>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</si>
  <si>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Reasoning与DeepSeek-R1结合后，准确率从9.4%提升至23.8%，提升了14.4个百分点。与OpenAI Deep Research的差距由原来的17.2%缩小至2.8%。
来自: [Agentic Reasoning: A Streamlined Framework for Enhancing LLM Reasoning with Agentic Tools, 第1页, Agentic Reasoning: A Streamlined Framework for Enhancing LLM Reasoning with Agentic Tools_chunk_000]</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</si>
  <si>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</si>
  <si>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</si>
  <si>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1上的得分为74.36，Level 2为69.21，Level 3为45.46，平均分为66.13。
来自: [Agentic Reasoning: A Streamlined Framework for Enhancing LLM Reasoning with Agentic Tools, 第5页, Agentic Reasoning: A Streamlined Framework for Enhancing LLM Reasoning with Agentic Tools_chunk_004]</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</si>
  <si>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</si>
  <si>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</si>
  <si>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在Asclepius基准测试中，人类医生在所有医学专科的诊断准确率上均优于Med-MLLMs。即使是平均准确率57.4%的初级医生，也略高于表现最好的Med-MLLM GPT-4V（54.3%）。GPT-4V的表现最接近人类医生，但整体上所有Med-MLLMs的平均准确率都低于人类医生。此外，人类医生在不同专科间的表现差异较大，而Med-MLLMs的性能波动更小，展现出更标准化的诊断能力。
来自: [Asclepius: A Spectrum Evaluation Benchmark for Medical Multi-Modal Large Language Models, 第7页, Asclepius: A Spectrum Evaluation Benchmark for Medical Multi-Modal Large Language Models_chunk_008]
来自: [Asclepius: A Spectrum Evaluation Benchmark for Medical Multi-Modal Large Language Models, 第5页, Asclepius: A Spectrum Evaluation Benchmark for Medical Multi-Modal Large Language Models_chunk_005]
来自: [Asclepius: A Spectrum Evaluation Benchmark for Medical Multi-Modal Large Language Models, 第7页, Asclepius: A Spectrum Evaluation Benchmark for Medical Multi-Modal Large Language Models_chunk_007]</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</si>
  <si>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</si>
  <si>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</si>
  <si>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在LongDocURL基准测试中，GPT-4o表现最佳，总分达到64.5，是唯一达到及格标准的模型。开源模型方面，仅Qwen2-VL（得分30.6）和LLaVA-OneVision（得分22.0和25.0）超过20分，其余开源模型得分均低于20。
来自: [LongDocURL: a Comprehensive Multimodal Long Document Benchmark Integrating Understanding, Reasoning, and Locating, 第6页, LongDocURL: a Comprehensive Multimodal Long Document Benchmark Integrating Understanding, Reasoning, and Locating_chunk_006]</t>
  </si>
  <si>
    <t>RAGEval 提出的自动评估指标与人工评估的一致性如何？</t>
  </si>
  <si>
    <t>实验结果表明，RAGEval 的机器自动评估与人工评估在所有指标上均表现出高度一致性。两者之间的最终绝对差异仅为 1.67%。</t>
  </si>
  <si>
    <t>RAGEval 提出的自动评估指标（Completeness、Hallucination、Irrelevance）通过 LLM 进行评分，与人工评估表现出高度一致性。
来自: [RAGEval: Scenario Specific RAG Evaluation Dataset Generation Framework, 第1页, RAGEval: Scenario Specific RAG Evaluation Dataset Generation Framework_chunk_000]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</si>
  <si>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</si>
  <si>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</si>
  <si>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</si>
  <si>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《FaithfulRAG》通过 **Self-Fact Mining（自我事实挖掘）** 模块来提取内部知识，该模块包含三个顺序阶段：Self-Knowledge Extraction（自我知识提取）、Self-Context Generation（自我上下文生成）和 Self-Fact Extraction（自我事实提取），最终将大模型的参数化知识外化为细粒度的“自我事实”。
来自: [FaithfulRAG: Fact-Level Conflict Modeling for Context-Faithful Retrieval-Augmented Generation, 第3页, FaithfulRAG: Fact-Level Conflict Modeling for Context-Faithful Retrieval-Augmented Generation_chunk_004]
《ASTUTE RAG》则采用 **自适应生成内部知识段落** 的机制，即通过大模型根据查询自适应地生成最准确、相关且全面的内部知识段落集，作为后续与外部知识整合的基础。
来自: [ASTUTE RAG: Overcoming Imperfect Retrieval Augmentation and Knowledge Conflicts for Large Language Models, 第4页, ASTUTE RAG: Overcoming Imperfect Retrieval Augmentation and Knowledge Conflicts for Large Language Models_chunk_004]</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</si>
  <si>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</si>
  <si>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</si>
  <si>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的核心创新在于提出一个统一的查询理解框架，通过单个解码器仅大语言模型联合执行查询增强与查询编码，消除任务分离，并利用检索器和生成器的反馈信号自适应选择最优增强策略。  
FaithfulRAG 的核心创新在于通过事实级冲突建模实现上下文忠实性，具体包括自我事实挖掘模块将模型参数知识外化为细粒度事实，以及自我思考模块让模型在生成前动态推理和整合冲突事实，从而在保持准确性的同时解决知识冲突。
来自: [UniRAG: Unified Query Understanding Method for Retrieval Augmented Generation, 第1页, UniRAG: Unified Query Understanding Method for Retrieval Augmented Generation_chunk_000]  
来自: [UniRAG: Unified Query Understanding Method for Retrieval Augmented Generation, 第1页, UniRAG: Unified Query Understanding Method for Retrieval Augmented Generation_chunk_001]  
来自: [FaithfulRAG: Fact-Level Conflict Modeling for Context-Faithful Retrieval-Augmented Generation, 第2页, FaithfulRAG: Fact-Level Conflict Modeling for Context-Faithful Retrieval-Augmented Generation_chunk_002]  
来自: [FaithfulRAG: Fact-Level Conflict Modeling for Context-Faithful Retrieval-Augmented Generation, 第3页, FaithfulRAG: Fact-Level Conflict Modeling for Context-Faithful Retrieval-Augmented Generation_chunk_004]</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</si>
  <si>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</si>
  <si>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</si>
  <si>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MEMERAG和DragonBall都是用于评估RAG系统的基准，但它们在评估维度、语言覆盖范围和构建方式上存在显著差异。
**相同点：**
两者都旨在评估RAG系统生成答案的事实准确性，并都超越了传统的词汇重叠指标（如ROUGE-L、BLEU）。它们都引入了更细粒度的评估维度来捕捉生成质量。
**不同点：**
1.  **评估维度**：这是两者最核心的区别。
    *   **MEMERAG** 关注两个维度：**忠实度（Faithfulness）**，即答案是否基于提供的上下文；以及**相关性（Relevance）**，即答案是否与问题相关。
    *   **DragonBall** 引入了三个新指标：**完整性（Completeness）、幻觉（Hallucination）和无关性（Irrelevance）**，这些指标基于事实关键点来评估答案的事实准确性。
2.  **语言覆盖**：
    *   **MEMERAG** 是一个多语言基准，涵盖英语、德语、西班牙语、法语和印地语，旨在捕捉不同语言和文化中的细微差别。
    *   **DragonBall** 基准（在RAGEval框架下）主要基于中文和英文数据集进行评估。
3.  **构建方式与目的**：
    *   **MEMERAG** 是一个**元评估基准**，它基于现有的MIRACL数据集，通过收集人类专家对模型生成答案的忠实度和相关性判断来构建。其主要目的是用于开发和评估自动评估器（如LLM-as-a-judge），衡量它们与人类判断的一致性。
    *   **DragonBall** 是RAGEval框架生成的**场景特定评估数据集**。该框架能自动生成特定领域的评估数据，旨在更全面地分析RAG系统中检索和生成组件对性能的影响。
**各自关注的评估维度：**
*   **MEMERAG** 关注的评估维度是**忠实度（Faithfulness）和相关性（Relevance）**。
*   **DragonBall** 关注的评估维度是**完整性（Completeness）、幻觉（Hallucination）和无关性（Irrelevance）**。
来自: [MEMERAG: A Multilingual End-to-End Meta-Evaluation Benchmark for Retrieval Augmented Generation, 第3页, MEMERAG: A Multilingual End-to-End Meta-Evaluation Benchmark for Retrieval Augmented Generation_chunk_003]
来自: [RAGEval: Scenario Specific RAG Evaluation Dataset Generation Framework, 第2页, RAGEval: Scenario Specific RAG Evaluation Dataset Generation Framework_chunk_001]
来自: [MEMERAG: A Multilingual End-to-End Meta-Evaluation Benchmark for Retrieval Augmented Generation, 第1页, MEMERAG: A Multilingual End-to-End Meta-Evaluation Benchmark for Retrieval Augmented Generation_chunk_000]
来自: [RAGEval: Scenario Specific RAG Evaluation Dataset Generation Framework, 第7页, RAGEval: Scenario Specific RAG Evaluation Dataset Generation Framework_chunk_008]</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</si>
  <si>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</si>
  <si>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</si>
  <si>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采用生成式数据合成策略：从 Wikipedia 选取上下文句子，利用大语言模型生成完全由这些句子支持的问答对，并通过添加语义相似的干扰文章来增强训练数据的真实性。RHIO 则通过屏蔽检索头的方式，让模型自身产生不忠实的回答作为负样本，用于后续的忠实性感知微调。
在提升模型能力方面，SYNQA 直接训练小型归因模型，使其在句子级证据识别上获得更高的精确度和召回率，并展现出更强的跨域泛化能力；而 RHIO 通过让模型区分忠实与不忠实生成，建立忠实生成机制，从而提升模型在生成回答时对上下文的忠实度。
来自: [On Synthesizing Data for Context Attribution in Question Answering, 第2页, On Synthesizing Data for Context Attribution in Question Answering_chunk_002]
来自: [Improving Contextual Faithfulness of Large Language Models via Retrieval Heads-Induced Optimization, 第14页, Improving Contextual Faithfulness of Large Language Models via Retrieval Heads-Induced Optimization_chunk_014]
来自: [On Synthesizing Data for Context Attribution in Question Answering, 第5页, On Synthesizing Data for Context Attribution in Question Answering_chunk_004]
来自: [Improving Contextual Faithfulness of Large Language Models via Retrieval Heads-Induced Optimization, 第7页, Improving Contextual Faithfulness of Large Language Models via Retrieval Heads-Induced Optimization_chunk_008]</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</si>
  <si>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</si>
  <si>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</si>
  <si>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是一个用于评估大语言模型在长上下文多任务中深度理解与推理能力的基准，其应用场景聚焦于需要处理长文本（8k 到 2M 词）的复杂问答与推理任务，涵盖单文档问答、多文档问答、长上下文学习、长对话历史理解、代码仓库理解和长结构化数据理解等六大类。AGENTGYM 则是一个面向大语言模型代理的交互式框架，应用场景覆盖 7 个真实世界场景、14 个环境和 89 个任务，旨在支持代理在多样化环境中的统一评估、实时交互、探索与自我改进训练，例如网页导航、文本游戏、家务任务、具身任务等。简言之，LongBench v2 侧重于长文本的深度理解与推理能力评测，而 AGENTGYM 侧重于代理在多环境下的交互决策与能力训练。
来自: [LongBench v2: Towards Deeper Understanding and Reasoning on Realistic Long-context Multitasks, 第1页, LongBench v2: Towards Deeper Understanding and Reasoning on Realistic Long-context Multitasks_chunk_000]
来自: [LongBench v2: Towards Deeper Understanding and Reasoning on Realistic Long-context Multitasks, 第2页, LongBench v2: Towards Deeper Understanding and Reasoning on Realistic Long-context Multitasks_chunk_001]
来自: [AGENTGYM: Evaluating and Training Large Language Model-based Agents across Diverse Environments, 第1页, AGENTGYM: Evaluating and Training Large Language Model-based Agents across Diverse Environments_chunk_000]
来自: [AGENTGYM: Evaluating and Training Large Language Model-based Agents across Diverse Environments, 第4页, AGENTGYM: Evaluating and Training Large Language Model-based Agents across Diverse Environments_chunk_004]</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</si>
  <si>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</si>
  <si>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</si>
  <si>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的核心机制是集成外部基于大语言模型的代理工具（Web-Search、Code、Mind-Map），在推理过程中动态调用这些工具来增强复杂推理能力。AR-MCTS 的核心机制则是将主动检索（Active Retrieval）与蒙特卡洛树搜索（MCTS）相结合，通过自动获取高质量逐步推理标注并逐步对齐过程奖励模型，实现过程级的多模态推理验证。
来自: [Agentic Reasoning: A Streamlined Framework for Enhancing LLM Reasoning with Agentic Tools, 第1页, Agentic Reasoning: A Streamlined Framework for Enhancing LLM Reasoning with Agentic Tools_chunk_001]
来自: [Progressive Multimodal Reasoning via Active Retrieval, 第1页, Progressive Multimodal Reasoning via Active Retrieval_chunk_000]</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</si>
  <si>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</si>
  <si>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</si>
  <si>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采用的核心方法是无需训练的**多智能体协同过滤**，通过多个LLM智能体协作对检索文档进行过滤和评分，以共识驱动策略筛选高质量文档来提升可靠性。  
RAG-Critic 采用的核心方法是**批评模型引导的智能体工作流**，通过构建分层错误体系并训练错误批评模型，自动提供细粒度错误反馈，进而驱动智能体执行错误导向的自我修正来提升可靠性。
来自: [MAIN-RAG: Multi-Agent Filtering Retrieval-Augmented Generation, 第1页, MAIN-RAG: Multi-Agent Filtering Retrieval-Augmented Generation_chunk_001]
来自: [RAG-Critic: Leveraging Automated Critic-Guided Agentic Workflow for Retrieval Augmented Generation, 第1页, RAG-Critic: Leveraging Automated Critic-Guided Agentic Workflow for Retrieval Augmented Generation_chunk_000]</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</si>
  <si>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</si>
  <si>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</si>
  <si>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问答系统的**检索阶段**，通过从查询中心视角弥合文档与查询之间的表示差距，提升密集检索器的性能。其核心痛点是现有训练依赖方法在域外泛化时面临灾难性遗忘，而文档中心方法则推理成本高、耗时长且易产生幻觉。
On Synthesizing Data for Context Attribution in Question Answering侧重于优化问答系统的**后生成阶段**（即上下文归因），在LLM生成答案后识别支持该答案的上下文句子，以增强答案的可信度和可验证性。其核心痛点是LLM生成答案的幻觉问题，以及现有归因方法要么粒度过粗（如段落级）不利于人工核查，要么细粒度方法计算昂贵、难以实时应用。
来自: [QAEncoder: Towards Aligned Representation Learning in Question Answering Systems, 第1页, QAEncoder: Towards Aligned Representation Learning in Question Answering Systems_chunk_001]
来自: [QAEncoder: Towards Aligned Representation Learning in Question Answering Systems, 第9页, QAEncoder: Towards Aligned Representation Learning in Question Answering Systems_chunk_013]
来自: [On Synthesizing Data for Context Attribution in Question Answering, 第1页, On Synthesizing Data for Context Attribution in Question Answering_chunk_000]
来自: [On Synthesizing Data for Context Attribution in Question Answering, 第2页, On Synthesizing Data for Context Attribution in Question Answering_chunk_001]
来自: [On Synthesizing Data for Context Attribution in Question Answering, 第9页, On Synthesizing Data for Context Attribution in Question Answering_chunk_011]</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</si>
  <si>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</si>
  <si>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</si>
  <si>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</si>
  <si>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</si>
  <si>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</si>
  <si>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</si>
  <si>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</si>
  <si>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</si>
  <si>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</si>
  <si>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</si>
  <si>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</si>
  <si>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</si>
  <si>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</si>
  <si>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</si>
  <si>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</si>
  <si>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</si>
  <si>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</si>
  <si>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CypherBench 提出了什么核心方法来应对 RDF 查询的挑战？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</si>
</sst>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2" borderId="0" xfId="0"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21" workbookViewId="0">
      <selection activeCell="P21" sqref="P21"/>
    </sheetView>
  </sheetViews>
  <sheetFormatPr defaultRowHeight="14" x14ac:dyDescent="0.25"/>
  <cols>
    <col min="1" max="1" width="24.36328125" style="2" customWidth="1"/>
    <col min="2" max="2" width="12.453125" style="2" customWidth="1"/>
    <col min="3" max="4" width="24.363281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336" x14ac:dyDescent="0.25">
      <c r="A2" s="2" t="s">
        <v>15</v>
      </c>
      <c r="B2" s="2" t="s">
        <v>16</v>
      </c>
      <c r="C2" s="2" t="s">
        <v>17</v>
      </c>
      <c r="D2" s="2" t="s">
        <v>18</v>
      </c>
      <c r="E2" s="2">
        <v>1</v>
      </c>
      <c r="F2" s="2">
        <v>1</v>
      </c>
      <c r="G2" s="2">
        <v>1</v>
      </c>
      <c r="H2" s="2">
        <v>1</v>
      </c>
      <c r="I2" s="4">
        <v>1</v>
      </c>
      <c r="J2" s="2">
        <v>1</v>
      </c>
      <c r="K2" s="2" t="b">
        <v>0</v>
      </c>
      <c r="L2" s="2">
        <v>3</v>
      </c>
      <c r="M2" s="2">
        <v>0</v>
      </c>
      <c r="N2" s="2">
        <v>0</v>
      </c>
    </row>
    <row r="3" spans="1:15" ht="168" x14ac:dyDescent="0.25">
      <c r="A3" s="2" t="s">
        <v>19</v>
      </c>
      <c r="B3" s="2" t="s">
        <v>16</v>
      </c>
      <c r="C3" s="2" t="s">
        <v>20</v>
      </c>
      <c r="D3" s="2" t="s">
        <v>21</v>
      </c>
      <c r="E3" s="2">
        <v>1</v>
      </c>
      <c r="F3" s="2">
        <v>1</v>
      </c>
      <c r="G3" s="2">
        <v>1</v>
      </c>
      <c r="H3" s="2">
        <v>1</v>
      </c>
      <c r="I3" s="4">
        <v>1</v>
      </c>
      <c r="J3" s="2">
        <v>1</v>
      </c>
      <c r="K3" s="2" t="b">
        <v>0</v>
      </c>
      <c r="L3" s="2">
        <v>1</v>
      </c>
      <c r="M3" s="2">
        <v>0</v>
      </c>
      <c r="N3" s="2">
        <v>0</v>
      </c>
    </row>
    <row r="4" spans="1:15" ht="210"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0.8</v>
      </c>
      <c r="K5" s="2" t="b">
        <v>0</v>
      </c>
      <c r="L5" s="2">
        <v>2</v>
      </c>
      <c r="M5" s="2">
        <v>0</v>
      </c>
      <c r="N5" s="2">
        <v>1</v>
      </c>
    </row>
    <row r="6" spans="1:15" ht="210" x14ac:dyDescent="0.25">
      <c r="A6" s="2" t="s">
        <v>28</v>
      </c>
      <c r="B6" s="2" t="s">
        <v>16</v>
      </c>
      <c r="C6" s="2" t="s">
        <v>29</v>
      </c>
      <c r="D6" s="2" t="s">
        <v>30</v>
      </c>
      <c r="E6" s="2">
        <v>1</v>
      </c>
      <c r="F6" s="2">
        <v>1</v>
      </c>
      <c r="G6" s="2">
        <v>1</v>
      </c>
      <c r="H6" s="2">
        <v>1</v>
      </c>
      <c r="I6" s="4">
        <v>0</v>
      </c>
      <c r="J6" s="2">
        <v>0.85699999999999998</v>
      </c>
      <c r="K6" s="2" t="b">
        <v>0</v>
      </c>
      <c r="L6" s="2">
        <v>3</v>
      </c>
      <c r="M6" s="2">
        <v>0</v>
      </c>
      <c r="N6" s="2">
        <v>1</v>
      </c>
    </row>
    <row r="7" spans="1:15" ht="210" x14ac:dyDescent="0.25">
      <c r="A7" s="2" t="s">
        <v>31</v>
      </c>
      <c r="B7" s="2" t="s">
        <v>16</v>
      </c>
      <c r="C7" s="2" t="s">
        <v>32</v>
      </c>
      <c r="D7" s="2" t="s">
        <v>33</v>
      </c>
      <c r="E7" s="2">
        <v>1</v>
      </c>
      <c r="F7" s="2">
        <v>1</v>
      </c>
      <c r="G7" s="2">
        <v>1</v>
      </c>
      <c r="H7" s="2">
        <v>1</v>
      </c>
      <c r="I7" s="4">
        <v>1</v>
      </c>
      <c r="J7" s="2">
        <v>0.8</v>
      </c>
      <c r="K7" s="2" t="b">
        <v>0</v>
      </c>
      <c r="L7" s="2">
        <v>2</v>
      </c>
      <c r="M7" s="2">
        <v>0</v>
      </c>
      <c r="N7" s="2">
        <v>1</v>
      </c>
    </row>
    <row r="8" spans="1:15" ht="210" x14ac:dyDescent="0.25">
      <c r="A8" s="2" t="s">
        <v>34</v>
      </c>
      <c r="B8" s="2" t="s">
        <v>16</v>
      </c>
      <c r="C8" s="2" t="s">
        <v>35</v>
      </c>
      <c r="D8" s="2" t="s">
        <v>36</v>
      </c>
      <c r="E8" s="2">
        <v>1</v>
      </c>
      <c r="F8" s="2">
        <v>1</v>
      </c>
      <c r="G8" s="2">
        <v>1</v>
      </c>
      <c r="H8" s="2">
        <v>1</v>
      </c>
      <c r="I8" s="4">
        <v>1</v>
      </c>
      <c r="J8" s="2">
        <v>1</v>
      </c>
      <c r="K8" s="2" t="b">
        <v>0</v>
      </c>
      <c r="L8" s="2">
        <v>1</v>
      </c>
      <c r="M8" s="2">
        <v>0</v>
      </c>
      <c r="N8" s="2">
        <v>0</v>
      </c>
    </row>
    <row r="9" spans="1:15" ht="182"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0.5</v>
      </c>
      <c r="J10" s="2">
        <v>1</v>
      </c>
      <c r="K10" s="2" t="b">
        <v>0</v>
      </c>
      <c r="L10" s="2">
        <v>3</v>
      </c>
      <c r="M10" s="2">
        <v>0</v>
      </c>
      <c r="N10" s="2">
        <v>0</v>
      </c>
    </row>
    <row r="11" spans="1:15" ht="224" x14ac:dyDescent="0.25">
      <c r="A11" s="2" t="s">
        <v>43</v>
      </c>
      <c r="B11" s="2" t="s">
        <v>16</v>
      </c>
      <c r="C11" s="2" t="s">
        <v>44</v>
      </c>
      <c r="D11" s="2" t="s">
        <v>45</v>
      </c>
      <c r="E11" s="2">
        <v>1</v>
      </c>
      <c r="F11" s="2">
        <v>1</v>
      </c>
      <c r="G11" s="2">
        <v>1</v>
      </c>
      <c r="H11" s="2">
        <v>1</v>
      </c>
      <c r="I11" s="4">
        <v>1</v>
      </c>
      <c r="J11" s="2">
        <v>0.66700000000000004</v>
      </c>
      <c r="K11" s="2" t="b">
        <v>0</v>
      </c>
      <c r="L11" s="2">
        <v>2</v>
      </c>
      <c r="M11" s="2">
        <v>0</v>
      </c>
      <c r="N11" s="2">
        <v>2</v>
      </c>
    </row>
    <row r="12" spans="1:15" ht="196"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0</v>
      </c>
      <c r="F13" s="2">
        <v>0</v>
      </c>
      <c r="G13" s="2">
        <v>0</v>
      </c>
      <c r="H13" s="2">
        <v>0</v>
      </c>
      <c r="I13" s="4">
        <v>0</v>
      </c>
      <c r="J13" s="2">
        <v>1</v>
      </c>
      <c r="K13" s="2" t="b">
        <v>0</v>
      </c>
      <c r="L13" s="2">
        <v>3</v>
      </c>
      <c r="M13" s="2">
        <v>0</v>
      </c>
      <c r="N13" s="2">
        <v>0</v>
      </c>
    </row>
    <row r="14" spans="1:15" ht="294" x14ac:dyDescent="0.25">
      <c r="A14" s="2" t="s">
        <v>52</v>
      </c>
      <c r="B14" s="2" t="s">
        <v>53</v>
      </c>
      <c r="C14" s="2" t="s">
        <v>54</v>
      </c>
      <c r="D14" s="2" t="s">
        <v>55</v>
      </c>
      <c r="E14" s="2">
        <v>1</v>
      </c>
      <c r="F14" s="2">
        <v>1</v>
      </c>
      <c r="G14" s="2">
        <v>1</v>
      </c>
      <c r="H14" s="2">
        <v>1</v>
      </c>
      <c r="I14" s="4">
        <v>0</v>
      </c>
      <c r="J14" s="2">
        <v>1</v>
      </c>
      <c r="K14" s="2" t="b">
        <v>0</v>
      </c>
      <c r="L14" s="2">
        <v>1</v>
      </c>
      <c r="M14" s="2">
        <v>0</v>
      </c>
      <c r="N14" s="2">
        <v>0</v>
      </c>
    </row>
    <row r="15" spans="1:15" ht="409.5" x14ac:dyDescent="0.25">
      <c r="A15" s="2" t="s">
        <v>56</v>
      </c>
      <c r="B15" s="2" t="s">
        <v>53</v>
      </c>
      <c r="C15" s="2" t="s">
        <v>57</v>
      </c>
      <c r="D15" s="2" t="s">
        <v>58</v>
      </c>
      <c r="E15" s="2">
        <v>1</v>
      </c>
      <c r="F15" s="2">
        <v>1</v>
      </c>
      <c r="G15" s="2">
        <v>1</v>
      </c>
      <c r="H15" s="2">
        <v>1</v>
      </c>
      <c r="I15" s="4">
        <v>1</v>
      </c>
      <c r="J15" s="2">
        <v>1</v>
      </c>
      <c r="K15" s="2" t="b">
        <v>0</v>
      </c>
      <c r="L15" s="2">
        <v>3</v>
      </c>
      <c r="M15" s="2">
        <v>0</v>
      </c>
      <c r="N15" s="2">
        <v>0</v>
      </c>
    </row>
    <row r="16" spans="1:15" ht="406" x14ac:dyDescent="0.25">
      <c r="A16" s="2" t="s">
        <v>59</v>
      </c>
      <c r="B16" s="2" t="s">
        <v>53</v>
      </c>
      <c r="C16" s="2" t="s">
        <v>60</v>
      </c>
      <c r="D16" s="2" t="s">
        <v>61</v>
      </c>
      <c r="E16" s="2">
        <v>1</v>
      </c>
      <c r="F16" s="2">
        <v>1</v>
      </c>
      <c r="G16" s="2">
        <v>1</v>
      </c>
      <c r="H16" s="2">
        <v>1</v>
      </c>
      <c r="I16" s="4">
        <v>0.5</v>
      </c>
      <c r="J16" s="2">
        <v>1</v>
      </c>
      <c r="K16" s="2" t="b">
        <v>0</v>
      </c>
      <c r="L16" s="2">
        <v>3</v>
      </c>
      <c r="M16" s="2">
        <v>0</v>
      </c>
      <c r="N16" s="2">
        <v>0</v>
      </c>
    </row>
    <row r="17" spans="1:14" ht="409.5" x14ac:dyDescent="0.25">
      <c r="A17" s="2" t="s">
        <v>62</v>
      </c>
      <c r="B17" s="2" t="s">
        <v>53</v>
      </c>
      <c r="C17" s="2" t="s">
        <v>63</v>
      </c>
      <c r="D17" s="2" t="s">
        <v>64</v>
      </c>
      <c r="E17" s="2">
        <v>1</v>
      </c>
      <c r="F17" s="2">
        <v>1</v>
      </c>
      <c r="G17" s="2">
        <v>1</v>
      </c>
      <c r="H17" s="2">
        <v>1</v>
      </c>
      <c r="I17" s="4">
        <v>0.5</v>
      </c>
      <c r="J17" s="2">
        <v>1</v>
      </c>
      <c r="K17" s="2" t="b">
        <v>0</v>
      </c>
      <c r="L17" s="2">
        <v>2</v>
      </c>
      <c r="M17" s="2">
        <v>0</v>
      </c>
      <c r="N17" s="2">
        <v>0</v>
      </c>
    </row>
    <row r="18" spans="1:14" ht="409.5" x14ac:dyDescent="0.25">
      <c r="A18" s="2" t="s">
        <v>65</v>
      </c>
      <c r="B18" s="2" t="s">
        <v>53</v>
      </c>
      <c r="C18" s="2" t="s">
        <v>66</v>
      </c>
      <c r="D18" s="2" t="s">
        <v>67</v>
      </c>
      <c r="E18" s="2">
        <v>1</v>
      </c>
      <c r="F18" s="2">
        <v>1</v>
      </c>
      <c r="G18" s="2">
        <v>1</v>
      </c>
      <c r="H18" s="2">
        <v>1</v>
      </c>
      <c r="I18" s="4">
        <v>0.5</v>
      </c>
      <c r="J18" s="2">
        <v>0.88900000000000001</v>
      </c>
      <c r="K18" s="2" t="b">
        <v>0</v>
      </c>
      <c r="L18" s="2">
        <v>4</v>
      </c>
      <c r="M18" s="2">
        <v>0</v>
      </c>
      <c r="N18" s="2">
        <v>1</v>
      </c>
    </row>
    <row r="19" spans="1:14" ht="294" x14ac:dyDescent="0.25">
      <c r="A19" s="2" t="s">
        <v>68</v>
      </c>
      <c r="B19" s="2" t="s">
        <v>53</v>
      </c>
      <c r="C19" s="2" t="s">
        <v>69</v>
      </c>
      <c r="D19" s="2" t="s">
        <v>70</v>
      </c>
      <c r="E19" s="2">
        <v>0</v>
      </c>
      <c r="F19" s="2">
        <v>1</v>
      </c>
      <c r="G19" s="2">
        <v>1</v>
      </c>
      <c r="H19" s="2">
        <v>0.33333333333333331</v>
      </c>
      <c r="I19" s="4">
        <v>1</v>
      </c>
      <c r="J19" s="2">
        <v>1</v>
      </c>
      <c r="K19" s="2" t="b">
        <v>0</v>
      </c>
      <c r="L19" s="2">
        <v>3</v>
      </c>
      <c r="M19" s="2">
        <v>0</v>
      </c>
      <c r="N19" s="2">
        <v>0</v>
      </c>
    </row>
    <row r="20" spans="1:14" ht="294" x14ac:dyDescent="0.25">
      <c r="A20" s="2" t="s">
        <v>71</v>
      </c>
      <c r="B20" s="2" t="s">
        <v>53</v>
      </c>
      <c r="C20" s="2" t="s">
        <v>72</v>
      </c>
      <c r="D20" s="2" t="s">
        <v>73</v>
      </c>
      <c r="E20" s="2">
        <v>0</v>
      </c>
      <c r="F20" s="2">
        <v>0</v>
      </c>
      <c r="G20" s="2">
        <v>0</v>
      </c>
      <c r="H20" s="2">
        <v>0</v>
      </c>
      <c r="I20" s="4">
        <v>0</v>
      </c>
      <c r="J20" s="2">
        <v>0</v>
      </c>
      <c r="K20" s="2" t="b">
        <v>0</v>
      </c>
      <c r="L20" s="2">
        <v>0</v>
      </c>
      <c r="M20" s="2">
        <v>1</v>
      </c>
      <c r="N20" s="2">
        <v>1</v>
      </c>
    </row>
    <row r="21" spans="1:14" ht="409.5" x14ac:dyDescent="0.25">
      <c r="A21" s="2" t="s">
        <v>161</v>
      </c>
      <c r="B21" s="2" t="s">
        <v>53</v>
      </c>
      <c r="C21" s="2" t="s">
        <v>74</v>
      </c>
      <c r="D21" s="2" t="s">
        <v>75</v>
      </c>
      <c r="E21" s="2">
        <v>1</v>
      </c>
      <c r="F21" s="2">
        <v>1</v>
      </c>
      <c r="G21" s="2">
        <v>1</v>
      </c>
      <c r="H21" s="2">
        <v>1</v>
      </c>
      <c r="I21" s="4">
        <v>1</v>
      </c>
      <c r="J21" s="2">
        <v>0</v>
      </c>
      <c r="K21" s="2" t="b">
        <v>0</v>
      </c>
      <c r="L21" s="2">
        <v>0</v>
      </c>
      <c r="M21" s="2">
        <v>0</v>
      </c>
      <c r="N21" s="2">
        <v>1</v>
      </c>
    </row>
    <row r="22" spans="1:14" ht="409.5" x14ac:dyDescent="0.25">
      <c r="A22" s="2" t="s">
        <v>76</v>
      </c>
      <c r="B22" s="2" t="s">
        <v>53</v>
      </c>
      <c r="C22" s="2" t="s">
        <v>77</v>
      </c>
      <c r="D22" s="2" t="s">
        <v>78</v>
      </c>
      <c r="E22" s="2">
        <v>0</v>
      </c>
      <c r="F22" s="2">
        <v>1</v>
      </c>
      <c r="G22" s="2">
        <v>1</v>
      </c>
      <c r="H22" s="2">
        <v>0.5</v>
      </c>
      <c r="I22" s="4">
        <v>1</v>
      </c>
      <c r="J22" s="2">
        <v>1</v>
      </c>
      <c r="K22" s="2" t="b">
        <v>0</v>
      </c>
      <c r="L22" s="2">
        <v>3</v>
      </c>
      <c r="M22" s="2">
        <v>0</v>
      </c>
      <c r="N22" s="2">
        <v>0</v>
      </c>
    </row>
    <row r="23" spans="1:14" ht="224" x14ac:dyDescent="0.25">
      <c r="A23" s="2" t="s">
        <v>79</v>
      </c>
      <c r="B23" s="2" t="s">
        <v>53</v>
      </c>
      <c r="C23" s="2" t="s">
        <v>80</v>
      </c>
      <c r="D23" s="2" t="s">
        <v>81</v>
      </c>
      <c r="E23" s="2">
        <v>1</v>
      </c>
      <c r="F23" s="2">
        <v>1</v>
      </c>
      <c r="G23" s="2">
        <v>1</v>
      </c>
      <c r="H23" s="2">
        <v>1</v>
      </c>
      <c r="I23" s="4">
        <v>1</v>
      </c>
      <c r="J23" s="2">
        <v>1</v>
      </c>
      <c r="K23" s="2" t="b">
        <v>0</v>
      </c>
      <c r="L23" s="2">
        <v>2</v>
      </c>
      <c r="M23" s="2">
        <v>0</v>
      </c>
      <c r="N23" s="2">
        <v>0</v>
      </c>
    </row>
    <row r="24" spans="1:14" ht="238" x14ac:dyDescent="0.25">
      <c r="A24" s="2" t="s">
        <v>82</v>
      </c>
      <c r="B24" s="2" t="s">
        <v>53</v>
      </c>
      <c r="C24" s="2" t="s">
        <v>83</v>
      </c>
      <c r="D24" s="2" t="s">
        <v>84</v>
      </c>
      <c r="E24" s="2">
        <v>1</v>
      </c>
      <c r="F24" s="2">
        <v>1</v>
      </c>
      <c r="G24" s="2">
        <v>1</v>
      </c>
      <c r="H24" s="2">
        <v>1</v>
      </c>
      <c r="I24" s="4">
        <v>1</v>
      </c>
      <c r="J24" s="2">
        <v>0.66700000000000004</v>
      </c>
      <c r="K24" s="2" t="b">
        <v>0</v>
      </c>
      <c r="L24" s="2">
        <v>1</v>
      </c>
      <c r="M24" s="2">
        <v>0</v>
      </c>
      <c r="N24" s="2">
        <v>1</v>
      </c>
    </row>
    <row r="25" spans="1:14" ht="409.5" x14ac:dyDescent="0.25">
      <c r="A25" s="2" t="s">
        <v>85</v>
      </c>
      <c r="B25" s="2" t="s">
        <v>86</v>
      </c>
      <c r="C25" s="2" t="s">
        <v>87</v>
      </c>
      <c r="D25" s="2" t="s">
        <v>88</v>
      </c>
      <c r="E25" s="2">
        <v>1</v>
      </c>
      <c r="F25" s="2">
        <v>1</v>
      </c>
      <c r="G25" s="2">
        <v>1</v>
      </c>
      <c r="H25" s="2">
        <v>1</v>
      </c>
      <c r="I25" s="4">
        <v>0.5</v>
      </c>
      <c r="J25" s="2">
        <v>1</v>
      </c>
      <c r="K25" s="2" t="b">
        <v>0</v>
      </c>
      <c r="L25" s="2">
        <v>2</v>
      </c>
      <c r="M25" s="2">
        <v>0</v>
      </c>
      <c r="N25" s="2">
        <v>0</v>
      </c>
    </row>
    <row r="26" spans="1:14" ht="238" x14ac:dyDescent="0.25">
      <c r="A26" s="2" t="s">
        <v>89</v>
      </c>
      <c r="B26" s="2" t="s">
        <v>86</v>
      </c>
      <c r="C26" s="2" t="s">
        <v>90</v>
      </c>
      <c r="D26" s="2" t="s">
        <v>91</v>
      </c>
      <c r="E26" s="2">
        <v>1</v>
      </c>
      <c r="F26" s="2">
        <v>1</v>
      </c>
      <c r="G26" s="2">
        <v>1</v>
      </c>
      <c r="H26" s="2">
        <v>1</v>
      </c>
      <c r="I26" s="4">
        <v>1</v>
      </c>
      <c r="J26" s="2">
        <v>1</v>
      </c>
      <c r="K26" s="2" t="b">
        <v>0</v>
      </c>
      <c r="L26" s="2">
        <v>1</v>
      </c>
      <c r="M26" s="2">
        <v>0</v>
      </c>
      <c r="N26" s="2">
        <v>0</v>
      </c>
    </row>
    <row r="27" spans="1:14" ht="409.5" x14ac:dyDescent="0.25">
      <c r="A27" s="2" t="s">
        <v>92</v>
      </c>
      <c r="B27" s="2" t="s">
        <v>86</v>
      </c>
      <c r="C27" s="2" t="s">
        <v>93</v>
      </c>
      <c r="D27" s="2" t="s">
        <v>94</v>
      </c>
      <c r="E27" s="2">
        <v>1</v>
      </c>
      <c r="F27" s="2">
        <v>1</v>
      </c>
      <c r="G27" s="2">
        <v>1</v>
      </c>
      <c r="H27" s="2">
        <v>1</v>
      </c>
      <c r="I27" s="4">
        <v>0.33329999999999999</v>
      </c>
      <c r="J27" s="2">
        <v>1</v>
      </c>
      <c r="K27" s="2" t="b">
        <v>0</v>
      </c>
      <c r="L27" s="2">
        <v>2</v>
      </c>
      <c r="M27" s="2">
        <v>0</v>
      </c>
      <c r="N27" s="2">
        <v>0</v>
      </c>
    </row>
    <row r="28" spans="1:14" ht="294" x14ac:dyDescent="0.25">
      <c r="A28" s="2" t="s">
        <v>95</v>
      </c>
      <c r="B28" s="2" t="s">
        <v>86</v>
      </c>
      <c r="C28" s="2" t="s">
        <v>96</v>
      </c>
      <c r="D28" s="2" t="s">
        <v>97</v>
      </c>
      <c r="E28" s="2">
        <v>0</v>
      </c>
      <c r="F28" s="2">
        <v>0</v>
      </c>
      <c r="G28" s="2">
        <v>1</v>
      </c>
      <c r="H28" s="2">
        <v>0.2</v>
      </c>
      <c r="I28" s="4">
        <v>1</v>
      </c>
      <c r="J28" s="2">
        <v>1</v>
      </c>
      <c r="K28" s="2" t="b">
        <v>0</v>
      </c>
      <c r="L28" s="2">
        <v>1</v>
      </c>
      <c r="M28" s="2">
        <v>0</v>
      </c>
      <c r="N28" s="2">
        <v>0</v>
      </c>
    </row>
    <row r="29" spans="1:14" ht="182" x14ac:dyDescent="0.25">
      <c r="A29" s="2" t="s">
        <v>98</v>
      </c>
      <c r="B29" s="2" t="s">
        <v>86</v>
      </c>
      <c r="C29" s="2" t="s">
        <v>99</v>
      </c>
      <c r="D29" s="2" t="s">
        <v>100</v>
      </c>
      <c r="E29" s="2">
        <v>0</v>
      </c>
      <c r="F29" s="2">
        <v>1</v>
      </c>
      <c r="G29" s="2">
        <v>1</v>
      </c>
      <c r="H29" s="2">
        <v>0.5</v>
      </c>
      <c r="I29" s="4">
        <v>1</v>
      </c>
      <c r="J29" s="2">
        <v>1</v>
      </c>
      <c r="K29" s="2" t="b">
        <v>0</v>
      </c>
      <c r="L29" s="2">
        <v>1</v>
      </c>
      <c r="M29" s="2">
        <v>0</v>
      </c>
      <c r="N29" s="2">
        <v>0</v>
      </c>
    </row>
    <row r="30" spans="1:14" ht="224" x14ac:dyDescent="0.25">
      <c r="A30" s="2" t="s">
        <v>101</v>
      </c>
      <c r="B30" s="2" t="s">
        <v>86</v>
      </c>
      <c r="C30" s="2" t="s">
        <v>102</v>
      </c>
      <c r="D30" s="2" t="s">
        <v>103</v>
      </c>
      <c r="E30" s="2">
        <v>1</v>
      </c>
      <c r="F30" s="2">
        <v>1</v>
      </c>
      <c r="G30" s="2">
        <v>1</v>
      </c>
      <c r="H30" s="2">
        <v>1</v>
      </c>
      <c r="I30" s="4">
        <v>1</v>
      </c>
      <c r="J30" s="2">
        <v>1</v>
      </c>
      <c r="K30" s="2" t="b">
        <v>0</v>
      </c>
      <c r="L30" s="2">
        <v>3</v>
      </c>
      <c r="M30" s="2">
        <v>0</v>
      </c>
      <c r="N30" s="2">
        <v>0</v>
      </c>
    </row>
    <row r="31" spans="1:14" ht="266" x14ac:dyDescent="0.25">
      <c r="A31" s="2" t="s">
        <v>104</v>
      </c>
      <c r="B31" s="2" t="s">
        <v>86</v>
      </c>
      <c r="C31" s="2" t="s">
        <v>105</v>
      </c>
      <c r="D31" s="2" t="s">
        <v>106</v>
      </c>
      <c r="E31" s="2">
        <v>0</v>
      </c>
      <c r="F31" s="2">
        <v>0</v>
      </c>
      <c r="G31" s="2">
        <v>0</v>
      </c>
      <c r="H31" s="2">
        <v>0</v>
      </c>
      <c r="I31" s="4">
        <v>0</v>
      </c>
      <c r="J31" s="2">
        <v>1</v>
      </c>
      <c r="K31" s="2" t="b">
        <v>0</v>
      </c>
      <c r="L31" s="2">
        <v>3</v>
      </c>
      <c r="M31" s="2">
        <v>0</v>
      </c>
      <c r="N31" s="2">
        <v>0</v>
      </c>
    </row>
    <row r="32" spans="1:14" ht="238" x14ac:dyDescent="0.25">
      <c r="A32" s="2" t="s">
        <v>107</v>
      </c>
      <c r="B32" s="2" t="s">
        <v>86</v>
      </c>
      <c r="C32" s="2" t="s">
        <v>108</v>
      </c>
      <c r="D32" s="2" t="s">
        <v>109</v>
      </c>
      <c r="E32" s="2">
        <v>1</v>
      </c>
      <c r="F32" s="2">
        <v>1</v>
      </c>
      <c r="G32" s="2">
        <v>1</v>
      </c>
      <c r="H32" s="2">
        <v>1</v>
      </c>
      <c r="I32" s="4">
        <v>1</v>
      </c>
      <c r="J32" s="2">
        <v>0.66700000000000004</v>
      </c>
      <c r="K32" s="2" t="b">
        <v>0</v>
      </c>
      <c r="L32" s="2">
        <v>1</v>
      </c>
      <c r="M32" s="2">
        <v>0</v>
      </c>
      <c r="N32" s="2">
        <v>1</v>
      </c>
    </row>
    <row r="33" spans="1:15" ht="409.5" x14ac:dyDescent="0.25">
      <c r="A33" s="2" t="s">
        <v>110</v>
      </c>
      <c r="B33" s="2" t="s">
        <v>86</v>
      </c>
      <c r="C33" s="2" t="s">
        <v>111</v>
      </c>
      <c r="D33" s="2" t="s">
        <v>112</v>
      </c>
      <c r="E33" s="2">
        <v>1</v>
      </c>
      <c r="F33" s="2">
        <v>1</v>
      </c>
      <c r="G33" s="2">
        <v>1</v>
      </c>
      <c r="H33" s="2">
        <v>1</v>
      </c>
      <c r="I33" s="4">
        <v>0.66669999999999996</v>
      </c>
      <c r="J33" s="2">
        <v>1</v>
      </c>
      <c r="K33" s="2" t="b">
        <v>0</v>
      </c>
      <c r="L33" s="2">
        <v>3</v>
      </c>
      <c r="M33" s="2">
        <v>0</v>
      </c>
      <c r="N33" s="2">
        <v>0</v>
      </c>
    </row>
    <row r="34" spans="1:15" ht="350" x14ac:dyDescent="0.25">
      <c r="A34" s="2" t="s">
        <v>113</v>
      </c>
      <c r="B34" s="2" t="s">
        <v>86</v>
      </c>
      <c r="C34" s="2" t="s">
        <v>114</v>
      </c>
      <c r="D34" s="2" t="s">
        <v>115</v>
      </c>
      <c r="E34" s="2">
        <v>1</v>
      </c>
      <c r="F34" s="2">
        <v>1</v>
      </c>
      <c r="G34" s="2">
        <v>1</v>
      </c>
      <c r="H34" s="2">
        <v>1</v>
      </c>
      <c r="I34" s="4">
        <v>0</v>
      </c>
      <c r="J34" s="2">
        <v>1</v>
      </c>
      <c r="K34" s="2" t="b">
        <v>0</v>
      </c>
      <c r="L34" s="2">
        <v>3</v>
      </c>
      <c r="M34" s="2">
        <v>0</v>
      </c>
      <c r="N34" s="2">
        <v>0</v>
      </c>
    </row>
    <row r="35" spans="1:15" ht="210" x14ac:dyDescent="0.25">
      <c r="A35" s="2" t="s">
        <v>116</v>
      </c>
      <c r="B35" s="2" t="s">
        <v>86</v>
      </c>
      <c r="C35" s="2" t="s">
        <v>117</v>
      </c>
      <c r="D35" s="2" t="s">
        <v>118</v>
      </c>
      <c r="E35" s="2">
        <v>0</v>
      </c>
      <c r="F35" s="2">
        <v>0</v>
      </c>
      <c r="G35" s="2">
        <v>1</v>
      </c>
      <c r="H35" s="2">
        <v>0.25</v>
      </c>
      <c r="I35" s="4">
        <v>1</v>
      </c>
      <c r="J35" s="2">
        <v>0.66700000000000004</v>
      </c>
      <c r="K35" s="2" t="b">
        <v>0</v>
      </c>
      <c r="L35" s="2">
        <v>1</v>
      </c>
      <c r="M35" s="2">
        <v>0</v>
      </c>
      <c r="N35" s="2">
        <v>1</v>
      </c>
    </row>
    <row r="36" spans="1:15" ht="409.5" x14ac:dyDescent="0.25">
      <c r="A36" s="2" t="s">
        <v>119</v>
      </c>
      <c r="B36" s="2" t="s">
        <v>120</v>
      </c>
      <c r="C36" s="2" t="s">
        <v>121</v>
      </c>
      <c r="D36" s="2" t="s">
        <v>122</v>
      </c>
      <c r="E36" s="2">
        <v>1</v>
      </c>
      <c r="F36" s="2">
        <v>1</v>
      </c>
      <c r="G36" s="2">
        <v>1</v>
      </c>
      <c r="H36" s="2">
        <v>1</v>
      </c>
      <c r="I36" s="4">
        <v>1</v>
      </c>
      <c r="J36" s="2">
        <v>0.8</v>
      </c>
      <c r="K36" s="2" t="b">
        <v>0</v>
      </c>
      <c r="L36" s="2">
        <v>2</v>
      </c>
      <c r="M36" s="2">
        <v>0</v>
      </c>
      <c r="N36" s="2">
        <v>1</v>
      </c>
    </row>
    <row r="37" spans="1:15" ht="409.5" x14ac:dyDescent="0.25">
      <c r="A37" s="2" t="s">
        <v>123</v>
      </c>
      <c r="B37" s="2" t="s">
        <v>120</v>
      </c>
      <c r="C37" s="2" t="s">
        <v>124</v>
      </c>
      <c r="D37" s="2" t="s">
        <v>125</v>
      </c>
      <c r="E37" s="2">
        <v>1</v>
      </c>
      <c r="F37" s="2">
        <v>1</v>
      </c>
      <c r="G37" s="2">
        <v>1</v>
      </c>
      <c r="H37" s="2">
        <v>1</v>
      </c>
      <c r="I37" s="4">
        <v>1</v>
      </c>
      <c r="J37" s="2">
        <v>1</v>
      </c>
      <c r="K37" s="2" t="b">
        <v>0</v>
      </c>
      <c r="L37" s="2">
        <v>2</v>
      </c>
      <c r="M37" s="2">
        <v>0</v>
      </c>
      <c r="N37" s="2">
        <v>0</v>
      </c>
    </row>
    <row r="38" spans="1:15" ht="409.5" x14ac:dyDescent="0.25">
      <c r="A38" s="2" t="s">
        <v>126</v>
      </c>
      <c r="B38" s="2" t="s">
        <v>120</v>
      </c>
      <c r="C38" s="2" t="s">
        <v>127</v>
      </c>
      <c r="D38" s="2" t="s">
        <v>128</v>
      </c>
      <c r="E38" s="2">
        <v>0</v>
      </c>
      <c r="F38" s="2">
        <v>1</v>
      </c>
      <c r="G38" s="2">
        <v>1</v>
      </c>
      <c r="H38" s="2">
        <v>0.33333333333333331</v>
      </c>
      <c r="I38" s="4">
        <v>0.25</v>
      </c>
      <c r="J38" s="2">
        <v>0.75</v>
      </c>
      <c r="K38" s="2" t="b">
        <v>0</v>
      </c>
      <c r="L38" s="2">
        <v>3</v>
      </c>
      <c r="M38" s="2">
        <v>0</v>
      </c>
      <c r="N38" s="2">
        <v>2</v>
      </c>
    </row>
    <row r="39" spans="1:15" ht="409.5" x14ac:dyDescent="0.25">
      <c r="A39" s="2" t="s">
        <v>129</v>
      </c>
      <c r="B39" s="2" t="s">
        <v>120</v>
      </c>
      <c r="C39" s="2" t="s">
        <v>130</v>
      </c>
      <c r="D39" s="2" t="s">
        <v>131</v>
      </c>
      <c r="E39" s="2">
        <v>0</v>
      </c>
      <c r="F39" s="2">
        <v>1</v>
      </c>
      <c r="G39" s="2">
        <v>1</v>
      </c>
      <c r="H39" s="2">
        <v>0.33333333333333331</v>
      </c>
      <c r="I39" s="4">
        <v>0</v>
      </c>
      <c r="J39" s="2">
        <v>1</v>
      </c>
      <c r="K39" s="2" t="b">
        <v>0</v>
      </c>
      <c r="L39" s="2">
        <v>2</v>
      </c>
      <c r="M39" s="2">
        <v>0</v>
      </c>
      <c r="N39" s="2">
        <v>0</v>
      </c>
    </row>
    <row r="40" spans="1:15" ht="409.5" x14ac:dyDescent="0.25">
      <c r="A40" s="2" t="s">
        <v>132</v>
      </c>
      <c r="B40" s="2" t="s">
        <v>120</v>
      </c>
      <c r="C40" s="2" t="s">
        <v>133</v>
      </c>
      <c r="D40" s="2" t="s">
        <v>134</v>
      </c>
      <c r="E40" s="2">
        <v>1</v>
      </c>
      <c r="F40" s="2">
        <v>1</v>
      </c>
      <c r="G40" s="2">
        <v>1</v>
      </c>
      <c r="H40" s="2">
        <v>1</v>
      </c>
      <c r="I40" s="4">
        <v>1</v>
      </c>
      <c r="J40" s="2">
        <v>0.66700000000000004</v>
      </c>
      <c r="K40" s="2" t="b">
        <v>0</v>
      </c>
      <c r="L40" s="2">
        <v>2</v>
      </c>
      <c r="M40" s="2">
        <v>1</v>
      </c>
      <c r="N40" s="2">
        <v>1</v>
      </c>
    </row>
    <row r="41" spans="1:15" ht="409.5" x14ac:dyDescent="0.25">
      <c r="A41" s="2" t="s">
        <v>135</v>
      </c>
      <c r="B41" s="2" t="s">
        <v>120</v>
      </c>
      <c r="C41" s="2" t="s">
        <v>136</v>
      </c>
      <c r="D41" s="2" t="s">
        <v>137</v>
      </c>
      <c r="E41" s="2">
        <v>1</v>
      </c>
      <c r="F41" s="2">
        <v>1</v>
      </c>
      <c r="G41" s="2">
        <v>1</v>
      </c>
      <c r="H41" s="2">
        <v>1</v>
      </c>
      <c r="I41" s="4">
        <v>1</v>
      </c>
      <c r="J41" s="2">
        <v>0.8</v>
      </c>
      <c r="K41" s="2" t="b">
        <v>0</v>
      </c>
      <c r="L41" s="2">
        <v>2</v>
      </c>
      <c r="M41" s="2">
        <v>0</v>
      </c>
      <c r="N41" s="2">
        <v>1</v>
      </c>
    </row>
    <row r="42" spans="1:15" ht="409.5" x14ac:dyDescent="0.25">
      <c r="A42" s="2" t="s">
        <v>138</v>
      </c>
      <c r="B42" s="2" t="s">
        <v>120</v>
      </c>
      <c r="C42" s="2" t="s">
        <v>139</v>
      </c>
      <c r="D42" s="2" t="s">
        <v>140</v>
      </c>
      <c r="E42" s="2">
        <v>1</v>
      </c>
      <c r="F42" s="2">
        <v>1</v>
      </c>
      <c r="G42" s="2">
        <v>1</v>
      </c>
      <c r="H42" s="2">
        <v>1</v>
      </c>
      <c r="I42" s="4">
        <v>0.5</v>
      </c>
      <c r="J42" s="2">
        <v>0.66700000000000004</v>
      </c>
      <c r="K42" s="2" t="b">
        <v>0</v>
      </c>
      <c r="L42" s="2">
        <v>2</v>
      </c>
      <c r="M42" s="2">
        <v>0</v>
      </c>
      <c r="N42" s="2">
        <v>2</v>
      </c>
    </row>
    <row r="43" spans="1:15" ht="409.5" x14ac:dyDescent="0.25">
      <c r="A43" s="2" t="s">
        <v>141</v>
      </c>
      <c r="B43" s="2" t="s">
        <v>120</v>
      </c>
      <c r="C43" s="2" t="s">
        <v>142</v>
      </c>
      <c r="D43" s="2" t="s">
        <v>143</v>
      </c>
      <c r="E43" s="2">
        <v>0</v>
      </c>
      <c r="F43" s="2">
        <v>1</v>
      </c>
      <c r="G43" s="2">
        <v>1</v>
      </c>
      <c r="H43" s="2">
        <v>0.5</v>
      </c>
      <c r="I43" s="4">
        <v>1</v>
      </c>
      <c r="J43" s="2">
        <v>1</v>
      </c>
      <c r="K43" s="2" t="b">
        <v>0</v>
      </c>
      <c r="L43" s="2">
        <v>2</v>
      </c>
      <c r="M43" s="2">
        <v>0</v>
      </c>
      <c r="N43" s="2">
        <v>0</v>
      </c>
    </row>
    <row r="44" spans="1:15" ht="42" x14ac:dyDescent="0.25">
      <c r="A44" s="2" t="s">
        <v>144</v>
      </c>
      <c r="B44" s="2" t="s">
        <v>145</v>
      </c>
      <c r="C44" s="2" t="s">
        <v>146</v>
      </c>
      <c r="D44" s="2" t="s">
        <v>147</v>
      </c>
      <c r="J44" s="2">
        <v>1</v>
      </c>
      <c r="K44" s="2" t="b">
        <v>1</v>
      </c>
      <c r="L44" s="2">
        <v>1</v>
      </c>
      <c r="M44" s="2">
        <v>0</v>
      </c>
      <c r="N44" s="2">
        <v>0</v>
      </c>
      <c r="O44" s="2" t="b">
        <v>1</v>
      </c>
    </row>
    <row r="45" spans="1:15" ht="56" x14ac:dyDescent="0.25">
      <c r="A45" s="2" t="s">
        <v>148</v>
      </c>
      <c r="B45" s="2" t="s">
        <v>145</v>
      </c>
      <c r="C45" s="2" t="s">
        <v>146</v>
      </c>
      <c r="D45" s="2" t="s">
        <v>147</v>
      </c>
      <c r="J45" s="2">
        <v>1</v>
      </c>
      <c r="K45" s="2" t="b">
        <v>1</v>
      </c>
      <c r="L45" s="2">
        <v>1</v>
      </c>
      <c r="M45" s="2">
        <v>0</v>
      </c>
      <c r="N45" s="2">
        <v>0</v>
      </c>
      <c r="O45" s="2" t="b">
        <v>1</v>
      </c>
    </row>
    <row r="46" spans="1:15" ht="28" x14ac:dyDescent="0.25">
      <c r="A46" s="2" t="s">
        <v>149</v>
      </c>
      <c r="B46" s="2" t="s">
        <v>145</v>
      </c>
      <c r="C46" s="2" t="s">
        <v>146</v>
      </c>
      <c r="D46" s="2" t="s">
        <v>147</v>
      </c>
      <c r="J46" s="2">
        <v>1</v>
      </c>
      <c r="K46" s="2" t="b">
        <v>1</v>
      </c>
      <c r="L46" s="2">
        <v>1</v>
      </c>
      <c r="M46" s="2">
        <v>0</v>
      </c>
      <c r="N46" s="2">
        <v>0</v>
      </c>
      <c r="O46" s="2" t="b">
        <v>1</v>
      </c>
    </row>
    <row r="47" spans="1:15" ht="70" x14ac:dyDescent="0.25">
      <c r="A47" s="2" t="s">
        <v>150</v>
      </c>
      <c r="B47" s="2" t="s">
        <v>145</v>
      </c>
      <c r="C47" s="2" t="s">
        <v>146</v>
      </c>
      <c r="D47" s="2" t="s">
        <v>147</v>
      </c>
      <c r="J47" s="2">
        <v>1</v>
      </c>
      <c r="K47" s="2" t="b">
        <v>1</v>
      </c>
      <c r="L47" s="2">
        <v>1</v>
      </c>
      <c r="M47" s="2">
        <v>0</v>
      </c>
      <c r="N47" s="2">
        <v>0</v>
      </c>
      <c r="O47" s="2" t="b">
        <v>1</v>
      </c>
    </row>
    <row r="48" spans="1:15" ht="42" x14ac:dyDescent="0.25">
      <c r="A48" s="2" t="s">
        <v>151</v>
      </c>
      <c r="B48" s="2" t="s">
        <v>145</v>
      </c>
      <c r="C48" s="2" t="s">
        <v>146</v>
      </c>
      <c r="D48" s="2" t="s">
        <v>147</v>
      </c>
      <c r="J48" s="2">
        <v>1</v>
      </c>
      <c r="K48" s="2" t="b">
        <v>1</v>
      </c>
      <c r="L48" s="2">
        <v>1</v>
      </c>
      <c r="M48" s="2">
        <v>0</v>
      </c>
      <c r="N48" s="2">
        <v>0</v>
      </c>
      <c r="O48" s="2" t="b">
        <v>1</v>
      </c>
    </row>
    <row r="49" spans="1:15" ht="42" x14ac:dyDescent="0.25">
      <c r="A49" s="2" t="s">
        <v>152</v>
      </c>
      <c r="B49" s="2" t="s">
        <v>145</v>
      </c>
      <c r="C49" s="2" t="s">
        <v>146</v>
      </c>
      <c r="D49" s="2" t="s">
        <v>147</v>
      </c>
      <c r="J49" s="2">
        <v>1</v>
      </c>
      <c r="K49" s="2" t="b">
        <v>1</v>
      </c>
      <c r="L49" s="2">
        <v>1</v>
      </c>
      <c r="M49" s="2">
        <v>0</v>
      </c>
      <c r="N49" s="2">
        <v>0</v>
      </c>
      <c r="O49" s="2" t="b">
        <v>1</v>
      </c>
    </row>
    <row r="50" spans="1:15" ht="56" x14ac:dyDescent="0.25">
      <c r="A50" s="2" t="s">
        <v>153</v>
      </c>
      <c r="B50" s="2" t="s">
        <v>145</v>
      </c>
      <c r="C50" s="2" t="s">
        <v>146</v>
      </c>
      <c r="D50" s="2" t="s">
        <v>147</v>
      </c>
      <c r="J50" s="2">
        <v>1</v>
      </c>
      <c r="K50" s="2" t="b">
        <v>1</v>
      </c>
      <c r="L50" s="2">
        <v>1</v>
      </c>
      <c r="M50" s="2">
        <v>0</v>
      </c>
      <c r="N50" s="2">
        <v>0</v>
      </c>
      <c r="O50" s="2" t="b">
        <v>1</v>
      </c>
    </row>
    <row r="51" spans="1:15" ht="42" x14ac:dyDescent="0.25">
      <c r="A51" s="2" t="s">
        <v>154</v>
      </c>
      <c r="B51" s="2" t="s">
        <v>145</v>
      </c>
      <c r="C51" s="2" t="s">
        <v>146</v>
      </c>
      <c r="D51" s="2" t="s">
        <v>147</v>
      </c>
      <c r="J51" s="2">
        <v>1</v>
      </c>
      <c r="K51" s="2" t="b">
        <v>1</v>
      </c>
      <c r="L51" s="2">
        <v>1</v>
      </c>
      <c r="M51" s="2">
        <v>0</v>
      </c>
      <c r="N51" s="2">
        <v>0</v>
      </c>
      <c r="O51" s="2" t="b">
        <v>1</v>
      </c>
    </row>
    <row r="53" spans="1:15" x14ac:dyDescent="0.25">
      <c r="A53" s="2" t="s">
        <v>155</v>
      </c>
      <c r="E53" s="2">
        <f>AVERAGEIFS(E2:E51,K2:K51,FALSE)</f>
        <v>0.73809523809523814</v>
      </c>
      <c r="F53" s="2">
        <f>AVERAGEIFS(F2:F51,K2:K51,FALSE)</f>
        <v>0.88095238095238093</v>
      </c>
      <c r="G53" s="2">
        <f>AVERAGEIFS(G2:G51,K2:K51,FALSE)</f>
        <v>0.9285714285714286</v>
      </c>
      <c r="H53" s="2">
        <f>AVERAGEIFS(H2:H51,K2:K51,FALSE)</f>
        <v>0.80833333333333324</v>
      </c>
      <c r="I53" s="4">
        <f>AVERAGEIFS(I2:I51,K2:K51,FALSE)</f>
        <v>0.72023809523809523</v>
      </c>
      <c r="J53" s="2">
        <f>AVERAGE(J2:J51)</f>
        <v>0.8939600000000002</v>
      </c>
      <c r="L53" s="2">
        <f>AVERAGE(L2:L51)</f>
        <v>1.9</v>
      </c>
      <c r="M53" s="2">
        <f>AVERAGE(M2:M51)</f>
        <v>0.04</v>
      </c>
      <c r="N53" s="2">
        <f>AVERAGE(N2:N51)</f>
        <v>0.36</v>
      </c>
    </row>
    <row r="54" spans="1:15" x14ac:dyDescent="0.25">
      <c r="A54" s="2" t="s">
        <v>156</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0.79166666666666663</v>
      </c>
      <c r="J54" s="2">
        <f>AVERAGEIF(B2:B51,"定义类",J2:J51)</f>
        <v>0.92700000000000005</v>
      </c>
      <c r="L54" s="2">
        <f>AVERAGEIF(B2:B51,"定义类",L2:L51)</f>
        <v>2.25</v>
      </c>
      <c r="M54" s="2">
        <f>AVERAGEIF(B2:B51,"定义类",M2:M51)</f>
        <v>0</v>
      </c>
      <c r="N54" s="2">
        <f>AVERAGEIF(B2:B51,"定义类",N2:N51)</f>
        <v>0.41666666666666669</v>
      </c>
    </row>
    <row r="55" spans="1:15" x14ac:dyDescent="0.25">
      <c r="A55" s="2" t="s">
        <v>157</v>
      </c>
      <c r="B55" s="2" t="s">
        <v>53</v>
      </c>
      <c r="E55" s="2">
        <f>AVERAGEIFS(E2:E51,B2:B51,"方法细节类",K2:K51,FALSE)</f>
        <v>0.72727272727272729</v>
      </c>
      <c r="F55" s="2">
        <f>AVERAGEIFS(F2:F51,B2:B51,"方法细节类",K2:K51,FALSE)</f>
        <v>0.90909090909090906</v>
      </c>
      <c r="G55" s="2">
        <f>AVERAGEIFS(G2:G51,B2:B51,"方法细节类",K2:K51,FALSE)</f>
        <v>0.90909090909090906</v>
      </c>
      <c r="H55" s="2">
        <f>AVERAGEIFS(H2:H51,B2:B51,"方法细节类",K2:K51,FALSE)</f>
        <v>0.80303030303030287</v>
      </c>
      <c r="I55" s="4">
        <f>AVERAGEIFS(I2:I51,B2:B51,"方法细节类",K2:K51,FALSE)</f>
        <v>0.68181818181818177</v>
      </c>
      <c r="J55" s="2">
        <f>AVERAGEIF(B2:B51,"方法细节类",J2:J51)</f>
        <v>0.77781818181818185</v>
      </c>
      <c r="L55" s="2">
        <f>AVERAGEIF(B2:B51,"方法细节类",L2:L51)</f>
        <v>2</v>
      </c>
      <c r="M55" s="2">
        <f>AVERAGEIF(B2:B51,"方法细节类",M2:M51)</f>
        <v>9.0909090909090912E-2</v>
      </c>
      <c r="N55" s="2">
        <f>AVERAGEIF(B2:B51,"方法细节类",N2:N51)</f>
        <v>0.36363636363636365</v>
      </c>
    </row>
    <row r="56" spans="1:15" x14ac:dyDescent="0.25">
      <c r="A56" s="2" t="s">
        <v>158</v>
      </c>
      <c r="B56" s="2" t="s">
        <v>86</v>
      </c>
      <c r="E56" s="2">
        <f>AVERAGEIFS(E2:E51,B2:B51,"实验结果类",K2:K51,FALSE)</f>
        <v>0.63636363636363635</v>
      </c>
      <c r="F56" s="2">
        <f>AVERAGEIFS(F2:F51,B2:B51,"实验结果类",K2:K51,FALSE)</f>
        <v>0.72727272727272729</v>
      </c>
      <c r="G56" s="2">
        <f>AVERAGEIFS(G2:G51,B2:B51,"实验结果类",K2:K51,FALSE)</f>
        <v>0.90909090909090906</v>
      </c>
      <c r="H56" s="2">
        <f>AVERAGEIFS(H2:H51,B2:B51,"实验结果类",K2:K51,FALSE)</f>
        <v>0.72272727272727277</v>
      </c>
      <c r="I56" s="4">
        <f>AVERAGEIFS(I2:I51,B2:B51,"实验结果类",K2:K51,FALSE)</f>
        <v>0.68181818181818177</v>
      </c>
      <c r="J56" s="2">
        <f>AVERAGEIF(B2:B51,"实验结果类",J2:J51)</f>
        <v>0.93945454545454543</v>
      </c>
      <c r="L56" s="2">
        <f>AVERAGEIF(B2:B51,"实验结果类",L2:L51)</f>
        <v>1.9090909090909092</v>
      </c>
      <c r="M56" s="2">
        <f>AVERAGEIF(B2:B51,"实验结果类",M2:M51)</f>
        <v>0</v>
      </c>
      <c r="N56" s="2">
        <f>AVERAGEIF(B2:B51,"实验结果类",N2:N51)</f>
        <v>0.18181818181818182</v>
      </c>
    </row>
    <row r="57" spans="1:15" ht="28" x14ac:dyDescent="0.25">
      <c r="A57" s="2" t="s">
        <v>159</v>
      </c>
      <c r="B57" s="2" t="s">
        <v>120</v>
      </c>
      <c r="E57" s="2">
        <f>AVERAGEIFS(E2:E51,B2:B51,"跨论文比较类",K2:K51,FALSE)</f>
        <v>0.625</v>
      </c>
      <c r="F57" s="2">
        <f>AVERAGEIFS(F2:F51,B2:B51,"跨论文比较类",K2:K51,FALSE)</f>
        <v>1</v>
      </c>
      <c r="G57" s="2">
        <f>AVERAGEIFS(G2:G51,B2:B51,"跨论文比较类",K2:K51,FALSE)</f>
        <v>1</v>
      </c>
      <c r="H57" s="2">
        <f>AVERAGEIFS(H2:H51,B2:B51,"跨论文比较类",K2:K51,FALSE)</f>
        <v>0.77083333333333337</v>
      </c>
      <c r="I57" s="4">
        <f>AVERAGEIFS(I2:I51,B2:B51,"跨论文比较类",K2:K51,FALSE)</f>
        <v>0.71875</v>
      </c>
      <c r="J57" s="2">
        <f>AVERAGEIF(B2:B51,"跨论文比较类",J2:J51)</f>
        <v>0.83549999999999991</v>
      </c>
      <c r="L57" s="2">
        <f>AVERAGEIF(B2:B51,"跨论文比较类",L2:L51)</f>
        <v>2.125</v>
      </c>
      <c r="M57" s="2">
        <f>AVERAGEIF(B2:B51,"跨论文比较类",M2:M51)</f>
        <v>0.125</v>
      </c>
      <c r="N57" s="2">
        <f>AVERAGEIF(B2:B51,"跨论文比较类",N2:N51)</f>
        <v>0.875</v>
      </c>
    </row>
    <row r="58" spans="1:15" x14ac:dyDescent="0.25">
      <c r="A58" s="2" t="s">
        <v>160</v>
      </c>
      <c r="B58" s="2" t="s">
        <v>145</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2026-06-09T14:29:24Z</dcterms:created>
  <dcterms:modified xsi:type="dcterms:W3CDTF">2026-06-10T13:30:31Z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58fde1d3-7420-46bc-906d-2eded8bcf480</vt:lpwstr>
  </property>
</Properties>
</file>