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6DDE5C02-9856-4F2D-BAF8-F9F2F0D05F7F}"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<sst xmlns="http://schemas.openxmlformats.org/spreadsheetml/2006/main" count="226" uniqueCount="162">
  <si>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</si>
  <si>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</si>
  <si>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</si>
  <si>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</si>
  <si>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</si>
  <si>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</si>
  <si>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</si>
  <si>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</si>
  <si>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</si>
  <si>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</si>
  <si>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</si>
  <si>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</si>
  <si>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</si>
  <si>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</si>
  <si>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</si>
  <si>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</si>
  <si>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</si>
  <si>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</si>
  <si>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</si>
  <si>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</si>
  <si>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</si>
  <si>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</si>
  <si>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</si>
  <si>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</si>
  <si>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</si>
  <si>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</si>
  <si>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</si>
  <si>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</si>
  <si>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</si>
  <si>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</si>
  <si>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</si>
  <si>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</si>
  <si>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</si>
  <si>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</si>
  <si>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</si>
  <si>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</si>
  <si>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</si>
  <si>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</si>
  <si>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</si>
  <si>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</si>
  <si>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</si>
  <si>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</si>
  <si>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</si>
  <si>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</si>
  <si>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</si>
  <si>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</si>
  <si>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</si>
  <si>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</si>
  <si>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</si>
  <si>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</si>
  <si>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</si>
  <si>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</si>
  <si>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</si>
  <si>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</si>
  <si>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</si>
  <si>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</si>
  <si>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</si>
  <si>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</si>
  <si>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</si>
  <si>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</si>
  <si>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</si>
  <si>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</si>
  <si>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</si>
  <si>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</si>
  <si>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</si>
  <si>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</si>
  <si>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</si>
  <si>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</si>
  <si>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</si>
  <si>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</si>
  <si>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</si>
  <si>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</si>
  <si>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</si>
  <si>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</si>
  <si>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</si>
  <si>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</si>
  <si>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</si>
  <si>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</si>
  <si>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</si>
  <si>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</si>
  <si>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</si>
  <si>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</si>
  <si>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</si>
  <si>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</si>
  <si>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</si>
  <si>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</si>
  <si>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</si>
  <si>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</si>
  <si>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</si>
  <si>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</si>
  <si>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</si>
  <si>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</si>
  <si>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</si>
  <si>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</si>
  <si>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</si>
  <si>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</si>
  <si>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</si>
  <si>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</si>
  <si>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</si>
  <si>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</si>
  <si>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</si>
  <si>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</si>
  <si>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</si>
  <si>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</si>
  <si>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</si>
  <si>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</si>
  <si>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</si>
  <si>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</si>
  <si>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</si>
  <si>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</si>
  <si>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</si>
  <si>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</si>
  <si>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</si>
  <si>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</si>
  <si>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</si>
  <si>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</si>
  <si>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</si>
  <si>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</si>
  <si>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</si>
  <si>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</si>
  <si>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Models_chunk_008]</t>
  </si>
  <si>
    <t>Silver noise 是指部分包含答案的证据。
来自: [SafeRAG: Benchmarking Security in Retrieval-Augmented Generation of Large Language Model, 第2页, SafeRAG: Benchmarking Security in Retrieval-Augmented Generation of Large Language Model_chunk_007]</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</si>
  <si>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Models_chunk_006]</t>
  </si>
  <si>
    <t>Ref-Long是一个评估长上下文语言模型的长上下文引用能力的新基准，它要求模型识别出引用特定键的文档索引，强调键与文档之间的上下文关系而非简单检索。
来自: [Ref-Long: Benchmarking the Long-context Referencing Capability of Long-context Language Models, 第1页, Ref-Long: Benchmarking the Long-context Referencing Capability of Long-context Language Models_chunk_001]</t>
  </si>
  <si>
    <t>SYNQA是一种合成数据生成方法，由上下文选择、问答生成和干扰项挖掘三部分组成，旨在为问答中的上下文归因任务生成训练数据。
来自: [On Synthesizing Data for Context Attribution in Question Answering, 第2页, On Synthesizing Data for Context Attribution in Question Answering_chunk_010] [On Synthesizing Data for Context Attribution in Question Answering, 第3页, On Synthesizing Data for Context Attribution in Question Answering_chunk_012]</t>
  </si>
  <si>
    <t>根据已有信息，无法回答关于RHIO的问题，因为提供的论文片段中完全没有提及RHIO。
关于SYNQA，其数据生成方式的核心是：通过从特定的上下文句子中推导出问题，从而确保生成的问题具有清晰的归因路径。这种策略在提升模型归因能力上的特点是，它帮助模型发展出稳健的归因能力，并能泛化到不同的上下文和领域，使得基于该方法训练的小模型在域外数据集上表现出竞争力。
来自: [On Synthesizing Data for Context Attribution in Question Answering, 第3页, On Synthesizing Data for Context Attribution in Question Answering_chunk_012]
来自: [On Synthesizing Data for Context Attribution in Question Answering, 第6页, On Synthesizing Data for Context Attribution in Question Answering_chunk_035]</t>
  </si>
  <si>
    <t>AgenticLU是一个旨在通过集成自我澄清与上下文 grounding 的 agentic 工作流来增强大语言模型长上下文理解的框架。
来自: [Self-Taught Agentic Long-Context Understanding, 第1页, Self-Taught Agentic Long-Context Understanding_chunk_001]</t>
  </si>
  <si>
    <t>Agentic Reasoning是一个通过将外部基于LLM的智能体作为工具集成到推理过程中来增强推理能力的框架。
来自: [Agentic Reasoning: A Streamlined Framework for Enhancing LLM Reasoning with Agentic Tools, 第2页, Agentic Reasoning: A Streamlined Framework for Enhancing LLM Reasoning with Agentic Tools_chunk_008]</t>
  </si>
  <si>
    <t>Agentic Reasoning结合DeepSeek-R1在Humanity's Last Exam上达到23.8%的准确率，相比基础模型提升了14.4%；与OpenAI Deep Research的差距缩小至仅2.8%。
来自: [Agentic Reasoning: A Streamlined Framework for Enhancing LLM Reasoning with Agentic Tools, 第1页, Agentic Reasoning: A Streamlined Framework for Enhancing LLM Reasoning with Agentic Tools_chunk_004]</t>
  </si>
  <si>
    <t>在GAIA基准测试中，Agentic Reasoning在Level 1上达到74.36%，Level 2上达到69.21%，Level 3上达到45.46%，平均准确率为66.13%。这一成绩在所有公开方法中建立了新的最优水平，并在Level 1和Level 2任务上超越了OpenAI的Deep Research，在Level 3上也将差距缩小至2.26%。
来自: [Agentic Reasoning: A Streamlined Framework for Enhancing LLM Reasoning with Agentic Tools, 第5页, Agentic Reasoning: A Streamlined Framework for Enhancing LLM Reasoning with Agentic Tools_chunk_022]
来自: [Agentic Reasoning: A Streamlined Framework for Enhancing LLM Reasoning with Agentic Tools, 第5页, Agentic Reasoning: A Streamlined Framework for Enhancing LLM Reasoning with Agentic Tools_chunk_023]</t>
  </si>
  <si>
    <t>REAL-MM-RAG 基准测试旨在解决的四个关键属性是：(i) 多模态文档（包含文本、图表、表格等视觉元素）；(ii) 增强难度（查询需要超越简单关键词匹配，且语料库包含上下文相似的页面）；(iii) 真实 RAG 查询（问题以自然方式提出，不显式引用页面）；(iv) 准确标注（所有相关文档被正确且穷尽地标注，避免低估检索性能）。
来自: [REAL-MM-RAG:AReal-World Multi-Modal Retrieval Benchmark, 第1页, REAL-MM-RAG:AReal-World Multi-Modal Retrieval Benchmark_chunk_003]</t>
  </si>
  <si>
    <t>ASTUTE RAG 是一种检索增强生成方法，旨在更好地整合大语言模型内部知识与外部语料库中的集体知识，从而生成更可靠的回答。它主要用于克服不完美的检索增强和知识冲突问题，提升回答的准确性和鲁棒性。
来自: [ASTUTE RAG: Overcoming Imperfect Retrieval Augmentation and Knowledge Conflicts for Large Language Models, 第5页, ASTUTE RAG: Overcoming Imperfect Retrieval Augmentation and Knowledge Conflicts for Large Language Models_chunk_019]  
来自: [ASTUTE RAG: Overcoming Imperfect Retrieval Augmentation and Knowledge Conflicts for Large Language Models, 第7页, ASTUTE RAG: Overcoming Imperfect Retrieval Augmentation and Knowledge Conflicts for Large Language Models_chunk_036]</t>
  </si>
  <si>
    <t>在Astute RAG中，知识整合（knowledge consolidation）过程包含三个主要步骤：合并一致信息、识别冲突信息、过滤无关信息。
来自: [ASTUTE RAG: Overcoming Imperfect Retrieval Augmentation and Knowledge Conflicts for Large Language Models, 第2页, ASTUTE RAG: Overcoming Imperfect Retrieval Augmentation and Knowledge Conflicts for Large Language Models_chunk_007] [ASTUTE RAG: Overcoming Imperfect Retrieval Augmentation and Knowledge Conflicts for Large Language Models, 第16页, ASTUTE RAG: Overcoming Imperfect Retrieval Augmentation and Knowledge Conflicts for Large Language Models_chunk_046]</t>
  </si>
  <si>
    <t>L-CiteEval是一个开箱即用的评估套件，包含一个多任务长上下文基准测试和相应的评估流程。
来自: [L-CiteEval: A Suite for Evaluating Fidelity of Long-context Models, 第8页, L-CiteEval: A Suite for Evaluating Fidelity of Long-context Models_chunk_056]</t>
  </si>
  <si>
    <t>LongBench v2 包含 503 个问题，上下文长度范围为 8k 到 2M 词。
来自: [LongBench v2: Towards Deeper Understanding and Reasoning on Realistic Long-context Multitasks, 第1页, LongBench v2: Towards Deeper Understanding and Reasoning on Realistic Long-context Multitasks_chunk_004]</t>
  </si>
  <si>
    <t>在15分钟时间限制下，人类专家的准确率为53.7%。
来自: [LongBench v2: Towards Deeper Understanding and Reasoning on Realistic Long-context Multitasks, 第1页, LongBench v2: Towards Deeper Understanding and Reasoning on Realistic Long-context Multitasks_chunk_001]</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</si>
  <si>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Optimization_chunk_065]</t>
  </si>
  <si>
    <t>论文作者发现，在监督微调阶段使用标准的短上下文指令数据集（standard, short-context instruction datasets）就足以在长上下文任务上取得最佳性能，而长合成指令数据并不能进一步提升性能。
来自: [How to Train Long-Context Language Models (Effectively), 第2页, How to Train Long-Context Language Models (Effectively)_chunk_006]</t>
  </si>
  <si>
    <t>LongRefiner 通过将推理过程拆分为离线和在线两个阶段来降低在线延迟：离线阶段预先对语料库中的文档进行层次化结构处理，在线阶段仅需执行查询分析和自适应精炼，由于在线阶段只处理数百个输入 token 并生成数十个输出 token，整体延迟仅为标准设置的约 25%。
来自: [Hierarchical Document Refinement for Long-context Retrieval-augmented Generation, 第6页, Hierarchical Document Refinement for Long-context Retrieval-augmented Generation_chunk_030]</t>
  </si>
  <si>
    <t>DRAG框架通过让本地模型在发送查询到云端之前重新表述查询，剥离敏感信息，然后云端模型检索证据和知识图谱，返回给本地模型进行最终处理，从而确保敏感数据不离开本地，保护用户隐私。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Distillation_chunk_004]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Distillation_chunk_025]</t>
  </si>
  <si>
    <t>Think&amp;Cite 框架中的 SG-MCTS 是一种将蒙特卡洛树搜索与 LLM 自我反思相结合的多步推理生成方法。在每次迭代中，它依次执行四个步骤：**选择**（selection）、**反思引导的扩展**（reflection-guided expansion）、**评估**（evaluation）和**反向传播**（backpropagation）。其中，反思引导的扩展利用 LLM 对中间状态进行实时反思，以纠正错误查询并引导树扩展；评估阶段则通过 Progress Reward Modeling 从生成进度和归因进度两方面提供反馈。
来自: [Think&amp;Cite: Improving Attributed Text Generation with Self-Guided Tree Search and Progress Reward Modeling, 第3页, Think&amp;Cite: Improving Attributed Text Generation with Self-Guided Tree Search and Progress Reward Modeling_chunk_014]  
来自: [Think&amp;Cite: Improving Attributed Text Generation with Self-Guided Tree Search and Progress Reward Modeling, 第1页, Think&amp;Cite: Improving Attributed Text Generation with Self-Guided Tree Search and Progress Reward Modeling_chunk_003]  
来自: [Think&amp;Cite: Improving Attributed Text Generation with Self-Guided Tree Search and Progress Reward Modeling, 第8页, Think&amp;Cite: Improving Attributed Text Generation with Self-Guided Tree Search and Progress Reward Modeling_chunk_044]</t>
  </si>
  <si>
    <t>SETR 的段落选择提示引导三个关键步骤：第一步，枚举回答查询所需的关键信息需求；第二步，为每个需求识别包含相关信息的段落；第三步，选择一个段落子集，这些段落共同提供最全面和多样化的覆盖以有效回答查询。
来自: [Shifting from Ranking to Set Selection for Retrieval Augmented Generation, 第4页, Shifting from Ranking to Set Selection for Retrieval Augmented Generation_chunk_015]</t>
  </si>
  <si>
    <t>在Meta-Bench基准测试中，α参数的最优范围是0.65到0.8。该参数的作用是平衡工具描述和参数描述在工具检索中的权重，从而影响检索性能。
来自: [Meta-Tool: Unleash Open-World Function Calling Capabilities of General-Purpose Large Language Models, 第20页, Meta-Tool: Unleash Open-World Function Calling Capabilities of General-Purpose Large Language Models_chunk_071]</t>
  </si>
  <si>
    <t>CypherBench 通过执行 SPARQL 查询并聚合结果（而非处理整个 RDF 转储）将 RDF 图转换为多个领域特定的属性图；转换层负责数据类型转换和单位标准化，生成模式强制、严格类型化的数据，每个属性图视图包含符合其领域模式的所有实体和关系。
来自: [CYPHERBENCH: Towards Precise Retrieval over Full-scale Modern Knowledge Graphs in the LLM Era, 第4页, CYPHERBENCH: Towards Precise Retrieval over Full-scale Modern Knowledge Graphs in the LLM Era_chunk_016]</t>
  </si>
  <si>
    <t>ClinRaGen的三阶段理由蒸馏范式依次为：第一阶段蒸馏基于医疗笔记的理由，让SLM建立对文本临床信息的基础理解；第二阶段引入知识增强注意力，对齐数值实验室测试与结构化医学知识以蒸馏基于实验室测试的理由；最终阶段完全整合文本与数值输入，生成临床连贯的多模态理由。
来自: [Knowledge-Augmented Multimodal Clinical Rationale Generation for Disease Diagnosis with Small Language Models, 第4页, Knowledge-Augmented Multimodal Clinical Rationale Generation for Disease Diagnosis with Small Language Models_chunk_016]</t>
  </si>
  <si>
    <t>QAEncoder从查询中心视角出发，通过为每个文档生成多样化的查询集来创建语义对齐的嵌入，并用查询嵌入的期望替代文档嵌入，从而弥合文档-查询差距；同时采用文档指纹策略确保文档可区分性。
来自: [QAEncoder: Towards Aligned Representation Learning in Question Answering Systems, 第5页, QAEncoder: Towards Aligned Representation Learning in Question Answering Systems_chunk_019]
来自: [QAEncoder: Towards Aligned Representation Learning in Question Answering Systems, 第9页, QAEncoder: Towards Aligned Representation Learning in Question Answering Systems_chunk_060]</t>
  </si>
  <si>
    <t>QAEncoder侧重于优化QA系统的**检索阶段**，其核心痛点是文档与查询之间的语义差距（document-query gap），即传统稠密检索器难以准确匹配多样化的用户查询与相关文档。  
On Synthesizing Data for Context Attribution in Question Answering则侧重于优化QA系统的**生成后归因阶段**，其核心痛点是获取高质量上下文归因数据依赖昂贵的人工标注，从而限制了模型的可解释性与可靠性。
来自: [QAEncoder: Towards Aligned Representation Learning in Question Answering Systems, 第2页, QAEncoder: Towards Aligned Representation Learning in Question Answering Systems_chunk_007]  
来自: [On Synthesizing Data for Context Attribution in Question Answering, 第9页, On Synthesizing Data for Context Attribution in Question Answering_chunk_052]</t>
  </si>
  <si>
    <t>在文本简化任务中，HALOGEN 采用与摘要任务相同的验证流程：先用 GPT-3.5 将生成的简化文本分解为独立的原子事实，再用 Llama-2-70B 判断每个原子事实是否被原文蕴含（即进行蕴含决策）。
来自: [HALOGEN :FantasticLLMHallucinations and Where to Find Them, 第3页, HALOGEN :FantasticLLMHallucinations and Where to Find Them_chunk_017]</t>
  </si>
  <si>
    <t>在 HALoGEN 基准测试中，表现最好的 LLM（如 GPT-4）生成事实的幻觉率范围是 3% 到 86%，具体取决于任务领域。
来自: [HALOGEN :FantasticLLMHallucinations and Where to Find Them, 第1页, HALOGEN :FantasticLLMHallucinations and Where to Find Them_chunk_004]</t>
  </si>
  <si>
    <t>在Cited scenario下，GPT-4o是表现最好的模型，而Llama-3-70B仅与GPT-4o-mini持平；但在Full scenario下，Llama-3-70B反超GPT-4o并取得最佳性能。这一差异与GPT-4o倾向于生成更长的回复有关，更长的回复更容易遗漏引用，从而在Full scenario中拉低了评分。
来自: [CiteEval: Principle-Driven Citation Evaluation for Source Attribution, 第8页, CiteEval: Principle-Driven Citation Evaluation for Source Attribution_chunk_041] [CiteEval: Principle-Driven Citation Evaluation for Source Attribution, 第8页, CiteEval: Principle-Driven Citation Evaluation for Source Attribution_chunk_042]</t>
  </si>
  <si>
    <t>FaithfulRAG 在 FaithEval 数据集上使用 Mistral-7B 作为 backbone 时准确率为 81.7%，相比最强基线（KRE 的 73.2%）提高了 8.5%。
来自: [FaithfulRAG: Fact-Level Conflict Modeling for Context-Faithful Retrieval-Augmented Generation, 第7页, FaithfulRAG: Fact-Level Conflict Modeling for Context-Faithful Retrieval-Augmented Generation_chunk_037]</t>
  </si>
  <si>
    <t>《Astute RAG》通过“自适应内部知识生成”（adaptive generation of internal knowledge）机制来提取大模型内部知识；《FaithfulRAG》则采用“Self-Fact Mining”模块，将模型的参数化知识具体化为事实级知识。
来自: [ASTUTE RAG: Overcoming Imperfect Retrieval Augmentation and Knowledge Conflicts for Large Language Models, 第4页, ASTUTE RAG: Overcoming Imperfect Retrieval Augmentation and Knowledge Conflicts for Large Language Models_chunk_016] 和 [FaithfulRAG: Fact-Level Conflict Modeling for Context-Faithful Retrieval-Augmented Generation, 第7页, FaithfulRAG: Fact-Level Conflict Modeling for Context-Faithful Retrieval-Augmented Generation_chunk_041]</t>
  </si>
  <si>
    <t>RankCoT 相比 vanilla RAG 模型平均准确率提升了 2.5%，这表明 RankCoT 能够提供更有意义的精炼信息，从而帮助大语言模型更好地回答问题。
来自: [RankCoT: Refining Knowledge for Retrieval-Augmented Generation through Ranking Chain-of-Thoughts, 第6页, RankCoT: Refining Knowledge for Retrieval-Augmented Generation through Ranking Chain-of-Thoughts_chunk_036]</t>
  </si>
  <si>
    <t>AGENTSTAR在WebShop、ALFWorld和BabyAI任务上分别比GPT-4-Turbo高出61.00、20.50和9.87分。
来自: [AGENTGYM: Evaluating and Training Large Language Model-based Agents across Diverse Environments, 第7页, AGENTGYM: Evaluating and Training Large Language Model-based Agents across Diverse Environments_chunk_045]</t>
  </si>
  <si>
    <t>LongBench v2 是一个用于评估大语言模型在长上下文场景下深度理解与推理能力的基准测试，覆盖单文档问答、多文档问答、长上下文学习、长对话历史理解、代码仓库理解、长结构化数据理解等多种真实任务。AGENTGYM 则是一个支持多环境交互探索与学习的 LLM 代理训练与评估框架，旨在构建通用能力更强的智能体。
来自: [LongBench v2: Towards Deeper Understanding and Reasoning on Realistic Long-context Multitasks, 第1页, LongBench v2: Towards Deeper Understanding and Reasoning on Realistic Long-context Multitasks_chunk_001]  
来自: [LongBench v2: Towards Deeper Understanding and Reasoning on Realistic Long-context Multitasks, 第1页, LongBench v2: Towards Deeper Understanding and Reasoning on Realistic Long-context Multitasks_chunk_004]  
来自: [AGENTGYM: Evaluating and Training Large Language Model-based Agents across Diverse Environments, 第1页, AGENTGYM: Evaluating and Training Large Language Model-based Agents across Diverse Environments_chunk_004]</t>
  </si>
  <si>
    <t>在Asclepius基准测试中，人类医生的整体诊断准确率优于所有Med-MLLMs。人类医生的平均准确率在0.538至0.641之间，其中由多位专科医生集成的Meta-Doctor平均准确率最高。即使是平均准确率为57.4%的初级医生，也略高于表现最好的Med-MLLM GPT-4V（54.3%）。GPT-4V的表现最接近人类医生，且在所有模型中最为稳健，Gemini次之。这表明当前Med-MLLMs与人类专家之间仍存在差距，但GPT-4V等模型已展现出辅助诊断的潜力。
来自: [Asclepius: A Spectrum Evaluation Benchmark for Medical Multi-Modal Large Language Models, 第15页, Asclepius: A Spectrum Evaluation Benchmark for Medical Multi-Modal Large Language Models_chunk_048] [Asclepius: A Spectrum Evaluation Benchmark for Medical Multi-Modal Large Language Models, 第7页, Asclepius: A Spectrum Evaluation Benchmark for Medical Multi-Modal Large Language Models_chunk_032]</t>
  </si>
  <si>
    <t>在LongDocURL基准测试中，GPT-4o取得了64.5的最高分，是唯一达到及格标准的模型。开源模型表现明显落后，其中Qwen2-VL得分30.6，LLaVA-OneVision得分22.0和25.0，其余开源模型得分均低于20。
来自: [LongDocURL: a Comprehensive Multimodal Long Document Benchmark Integrating Understanding, Reasoning, and Locating, 第2页, LongDocURL: a Comprehensive Multimodal Long Document Benchmark Integrating Understanding, Reasoning, and Locating_chunk_007] 和 [LongDocURL: a Comprehensive Multimodal Long Document Benchmark Integrating Understanding, Reasoning, and Locating, 第6页, LongDocURL: a Comprehensive Multimodal Long Document Benchmark Integrating Understanding, Reasoning, and Locating_chunk_026]</t>
  </si>
  <si>
    <t>RAGEval 使用 LLM 对其提出的指标（Completeness、Hallucination、Irrelevance）进行评分，结果显示与人工评估具有高度一致性。
来自: [RAGEval: Scenario Specific RAG Evaluation Dataset Generation Framework, 第1页, RAGEval: Scenario Specific RAG Evaluation Dataset Generation Framework_chunk_001]</t>
  </si>
  <si>
    <t>UniRAG的核心创新在于构建了一个统一的查询理解框架，将查询增强与编码集成到单一模型中，通过自适应选择增强策略和对比学习来提升检索性能。FaithfulRAG的核心创新则体现在通过Self-Fact Mining提取查询相关的自我事实，并以此为基础进行上下文知识对齐与自我思考，从而在事实层面处理矛盾，确保生成内容的忠实性。
来自: [UniRAG: Unified Query Understanding Method for Retrieval Augmented Generation, 第9页, UniRAG: Unified Query Understanding Method for Retrieval Augmented Generation_chunk_042]
来自: [FaithfulRAG: Fact-Level Conflict Modeling for Context-Faithful Retrieval-Augmented Generation, 第4页, FaithfulRAG: Fact-Level Conflict Modeling for Context-Faithful Retrieval-Augmented Generation_chunk_015]</t>
  </si>
  <si>
    <t>MEMERAG和DragonBall都是面向RAG系统的评估基准。相同点在于两者均构建了包含问题、上下文和答案的数据集，用于衡量RAG输出质量。不同点主要体现在：MEMERAG是多语言基准（涵盖英、德、西、法、印地语），规模为1250个问题，在句子级别进行标注；DragonBall则聚焦金融、法律、医疗三个领域，包含中英文，规模更大（6711个问题）。在评估维度上，MEMERAG明确关注**忠实性**（答案是否基于上下文）和**相关性**（答案是否与问题相关）两个维度；而DragonBall的评估维度在提供的片段中未明确说明，仅提及通过关键点提取来支持评估，具体维度信息有限。
来自: [MEMERAG:AMultilingual End-to-End Meta-Evaluation Benchmark for Retrieval Augmented Generation, 第3页, MEMERAG:AMultilingual End-to-End Meta-Evaluation Benchmark for Retrieval Augmented Generation_chunk_015]；[MEMERAG:AMultilingual End-to-End Meta-Evaluation Benchmark for Retrieval Augmented Generation, 第5页, MEMERAG:AMultilingual End-to-End Meta-Evaluation Benchmark for Retrieval Augmented Generation_chunk_025]；[RAGEval: Scenario Specific RAG Evaluation Dataset Generation Framework, 第4页, RAGEval: Scenario Specific RAG Evaluation Dataset Generation Framework_chunk_018]</t>
  </si>
  <si>
    <t>Agentic Reasoning 通过集成外部代理（如网络搜索、代码执行和思维导图）来增强推理能力；AR-MCTS 则通过主动检索（AR）和蒙特卡洛树搜索（MCTS）来逐步提升推理能力。
来自: [Agentic Reasoning: A Streamlined Framework for Enhancing LLM Reasoning with Agentic Tools, 第2页, Agentic Reasoning: A Streamlined Framework for Enhancing LLM Reasoning with Agentic Tools_chunk_008] 和 [Progressive Multimodal Reasoning via Active Retrieval, 第1页, Progressive Multimodal Reasoning via Active Retrieval_chunk_000]</t>
  </si>
  <si>
    <t>MAIN‑RAG 采用无需训练的多智能体协作过滤方法，通过多个 LLM 代理对检索文档进行评分与筛选，以共识机制动态保留高质量文档，从而减少噪声、提升可靠性。  
RAG‑Critic 则构建分层错误分类体系，并训练一个错误批评模型，利用批评反馈驱动代理式 RAG 工作流，针对识别出的错误定制修正方案，以此增强系统的可靠性和纠错能力。
来自: [MAIN-RAG: Multi-Agent Filtering Retrieval-Augmented Generation, 第1页, MAIN-RAG: Multi-Agent Filtering Retrieval-Augmented Generation_chunk_006]  
来自: [RAG-Critic: Leveraging Automated Critic-Guided Agentic Workflow for Retrieval Augmented Generation, 第2页, RAG-Critic: Leveraging Automated Critic-Guided Agentic Workflow for Retrieval Augmented Generation_chunk_005]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</si>
</sst>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workbookViewId="0">
      <selection activeCell="F44" sqref="F44"/>
    </sheetView>
  </sheetViews>
  <sheetFormatPr defaultRowHeight="14" x14ac:dyDescent="0.25"/>
  <cols>
    <col min="1" max="1" width="19.90625" style="2" customWidth="1"/>
    <col min="2" max="2" width="9.90625" style="2" customWidth="1"/>
    <col min="3" max="4" width="19.906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80" x14ac:dyDescent="0.25">
      <c r="A2" s="2" t="s">
        <v>15</v>
      </c>
      <c r="B2" s="2" t="s">
        <v>16</v>
      </c>
      <c r="C2" s="2" t="s">
        <v>17</v>
      </c>
      <c r="D2" s="2" t="s">
        <v>120</v>
      </c>
      <c r="E2" s="2">
        <v>1</v>
      </c>
      <c r="F2" s="2">
        <v>1</v>
      </c>
      <c r="G2" s="2">
        <v>1</v>
      </c>
      <c r="H2" s="2">
        <v>1</v>
      </c>
      <c r="I2" s="4">
        <v>1</v>
      </c>
      <c r="J2" s="2">
        <v>1</v>
      </c>
      <c r="K2" s="2" t="b">
        <v>0</v>
      </c>
      <c r="L2" s="2">
        <v>3</v>
      </c>
      <c r="M2" s="2">
        <v>0</v>
      </c>
      <c r="N2" s="2">
        <v>0</v>
      </c>
    </row>
    <row r="3" spans="1:15" ht="98" x14ac:dyDescent="0.25">
      <c r="A3" s="2" t="s">
        <v>18</v>
      </c>
      <c r="B3" s="2" t="s">
        <v>16</v>
      </c>
      <c r="C3" s="2" t="s">
        <v>19</v>
      </c>
      <c r="D3" s="2" t="s">
        <v>121</v>
      </c>
      <c r="E3" s="2">
        <v>0</v>
      </c>
      <c r="F3" s="2">
        <v>1</v>
      </c>
      <c r="G3" s="2">
        <v>1</v>
      </c>
      <c r="H3" s="2">
        <v>0.33333333333333331</v>
      </c>
      <c r="I3" s="4">
        <v>1</v>
      </c>
      <c r="J3" s="2">
        <v>1</v>
      </c>
      <c r="K3" s="2" t="b">
        <v>0</v>
      </c>
      <c r="L3" s="2">
        <v>1</v>
      </c>
      <c r="M3" s="2">
        <v>0</v>
      </c>
      <c r="N3" s="2">
        <v>0</v>
      </c>
    </row>
    <row r="4" spans="1:15" ht="182" x14ac:dyDescent="0.25">
      <c r="A4" s="2" t="s">
        <v>20</v>
      </c>
      <c r="B4" s="2" t="s">
        <v>16</v>
      </c>
      <c r="C4" s="2" t="s">
        <v>21</v>
      </c>
      <c r="D4" s="2" t="s">
        <v>122</v>
      </c>
      <c r="E4" s="2">
        <v>1</v>
      </c>
      <c r="F4" s="2">
        <v>1</v>
      </c>
      <c r="G4" s="2">
        <v>1</v>
      </c>
      <c r="H4" s="2">
        <v>1</v>
      </c>
      <c r="I4" s="4">
        <v>1</v>
      </c>
      <c r="J4" s="2">
        <v>1</v>
      </c>
      <c r="K4" s="2" t="b">
        <v>0</v>
      </c>
      <c r="L4" s="2">
        <v>1</v>
      </c>
      <c r="M4" s="2">
        <v>0</v>
      </c>
      <c r="N4" s="2">
        <v>0</v>
      </c>
    </row>
    <row r="5" spans="1:15" ht="182" x14ac:dyDescent="0.25">
      <c r="A5" s="2" t="s">
        <v>22</v>
      </c>
      <c r="B5" s="2" t="s">
        <v>16</v>
      </c>
      <c r="C5" s="2" t="s">
        <v>23</v>
      </c>
      <c r="D5" s="2" t="s">
        <v>123</v>
      </c>
      <c r="E5" s="2">
        <v>1</v>
      </c>
      <c r="F5" s="2">
        <v>1</v>
      </c>
      <c r="G5" s="2">
        <v>1</v>
      </c>
      <c r="H5" s="2">
        <v>1</v>
      </c>
      <c r="I5" s="4">
        <v>1</v>
      </c>
      <c r="J5" s="2">
        <v>0.8</v>
      </c>
      <c r="K5" s="2" t="b">
        <v>0</v>
      </c>
      <c r="L5" s="2">
        <v>2</v>
      </c>
      <c r="M5" s="2">
        <v>0</v>
      </c>
      <c r="N5" s="2">
        <v>1</v>
      </c>
    </row>
    <row r="6" spans="1:15" ht="409.5" x14ac:dyDescent="0.25">
      <c r="A6" s="2" t="s">
        <v>24</v>
      </c>
      <c r="B6" s="2" t="s">
        <v>16</v>
      </c>
      <c r="C6" s="2" t="s">
        <v>25</v>
      </c>
      <c r="D6" s="2" t="s">
        <v>124</v>
      </c>
      <c r="E6" s="2">
        <v>0</v>
      </c>
      <c r="F6" s="2">
        <v>1</v>
      </c>
      <c r="G6" s="2">
        <v>1</v>
      </c>
      <c r="H6" s="2">
        <v>0.33333333333333331</v>
      </c>
      <c r="I6" s="4">
        <v>1</v>
      </c>
      <c r="J6" s="2">
        <v>0.66700000000000004</v>
      </c>
      <c r="K6" s="2" t="b">
        <v>0</v>
      </c>
      <c r="L6" s="2">
        <v>2</v>
      </c>
      <c r="M6" s="2">
        <v>0</v>
      </c>
      <c r="N6" s="2">
        <v>2</v>
      </c>
    </row>
    <row r="7" spans="1:15" ht="252" x14ac:dyDescent="0.25">
      <c r="A7" s="2" t="s">
        <v>26</v>
      </c>
      <c r="B7" s="2" t="s">
        <v>16</v>
      </c>
      <c r="C7" s="2" t="s">
        <v>27</v>
      </c>
      <c r="D7" s="2" t="s">
        <v>126</v>
      </c>
      <c r="E7" s="2">
        <v>1</v>
      </c>
      <c r="F7" s="2">
        <v>1</v>
      </c>
      <c r="G7" s="2">
        <v>1</v>
      </c>
      <c r="H7" s="2">
        <v>1</v>
      </c>
      <c r="I7" s="4">
        <v>1</v>
      </c>
      <c r="J7" s="2">
        <v>0.8</v>
      </c>
      <c r="K7" s="2" t="b">
        <v>0</v>
      </c>
      <c r="L7" s="2">
        <v>2</v>
      </c>
      <c r="M7" s="2">
        <v>0</v>
      </c>
      <c r="N7" s="2">
        <v>1</v>
      </c>
    </row>
    <row r="8" spans="1:15" ht="182" x14ac:dyDescent="0.25">
      <c r="A8" s="2" t="s">
        <v>28</v>
      </c>
      <c r="B8" s="2" t="s">
        <v>16</v>
      </c>
      <c r="C8" s="2" t="s">
        <v>29</v>
      </c>
      <c r="D8" s="2" t="s">
        <v>127</v>
      </c>
      <c r="E8" s="2">
        <v>1</v>
      </c>
      <c r="F8" s="2">
        <v>1</v>
      </c>
      <c r="G8" s="2">
        <v>1</v>
      </c>
      <c r="H8" s="2">
        <v>1</v>
      </c>
      <c r="I8" s="4">
        <v>1</v>
      </c>
      <c r="J8" s="2">
        <v>1</v>
      </c>
      <c r="K8" s="2" t="b">
        <v>0</v>
      </c>
      <c r="L8" s="2">
        <v>1</v>
      </c>
      <c r="M8" s="2">
        <v>0</v>
      </c>
      <c r="N8" s="2">
        <v>0</v>
      </c>
    </row>
    <row r="9" spans="1:15" ht="322" x14ac:dyDescent="0.25">
      <c r="A9" s="2" t="s">
        <v>30</v>
      </c>
      <c r="B9" s="2" t="s">
        <v>16</v>
      </c>
      <c r="C9" s="2" t="s">
        <v>31</v>
      </c>
      <c r="D9" s="2" t="s">
        <v>130</v>
      </c>
      <c r="E9" s="2">
        <v>1</v>
      </c>
      <c r="F9" s="2">
        <v>1</v>
      </c>
      <c r="G9" s="2">
        <v>1</v>
      </c>
      <c r="H9" s="2">
        <v>1</v>
      </c>
      <c r="I9" s="4">
        <v>1</v>
      </c>
      <c r="J9" s="2">
        <v>1</v>
      </c>
      <c r="K9" s="2" t="b">
        <v>0</v>
      </c>
      <c r="L9" s="2">
        <v>4</v>
      </c>
      <c r="M9" s="2">
        <v>0</v>
      </c>
      <c r="N9" s="2">
        <v>0</v>
      </c>
    </row>
    <row r="10" spans="1:15" ht="336" x14ac:dyDescent="0.25">
      <c r="A10" s="2" t="s">
        <v>32</v>
      </c>
      <c r="B10" s="2" t="s">
        <v>16</v>
      </c>
      <c r="C10" s="2" t="s">
        <v>33</v>
      </c>
      <c r="D10" s="2" t="s">
        <v>131</v>
      </c>
      <c r="E10" s="2">
        <v>1</v>
      </c>
      <c r="F10" s="2">
        <v>1</v>
      </c>
      <c r="G10" s="2">
        <v>1</v>
      </c>
      <c r="H10" s="2">
        <v>1</v>
      </c>
      <c r="I10" s="4">
        <v>0.5</v>
      </c>
      <c r="J10" s="2">
        <v>1</v>
      </c>
      <c r="K10" s="2" t="b">
        <v>0</v>
      </c>
      <c r="L10" s="2">
        <v>3</v>
      </c>
      <c r="M10" s="2">
        <v>0</v>
      </c>
      <c r="N10" s="2">
        <v>0</v>
      </c>
    </row>
    <row r="11" spans="1:15" ht="266" x14ac:dyDescent="0.25">
      <c r="A11" s="2" t="s">
        <v>34</v>
      </c>
      <c r="B11" s="2" t="s">
        <v>16</v>
      </c>
      <c r="C11" s="2" t="s">
        <v>35</v>
      </c>
      <c r="D11" s="2" t="s">
        <v>133</v>
      </c>
      <c r="E11" s="2">
        <v>1</v>
      </c>
      <c r="F11" s="2">
        <v>1</v>
      </c>
      <c r="G11" s="2">
        <v>1</v>
      </c>
      <c r="H11" s="2">
        <v>1</v>
      </c>
      <c r="I11" s="4">
        <v>1</v>
      </c>
      <c r="J11" s="2">
        <v>0.85699999999999998</v>
      </c>
      <c r="K11" s="2" t="b">
        <v>0</v>
      </c>
      <c r="L11" s="2">
        <v>3</v>
      </c>
      <c r="M11" s="2">
        <v>0</v>
      </c>
      <c r="N11" s="2">
        <v>1</v>
      </c>
    </row>
    <row r="12" spans="1:15" ht="140"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409.5" x14ac:dyDescent="0.25">
      <c r="A13" s="2" t="s">
        <v>38</v>
      </c>
      <c r="B13" s="2" t="s">
        <v>16</v>
      </c>
      <c r="C13" s="2" t="s">
        <v>39</v>
      </c>
      <c r="D13" s="2" t="s">
        <v>136</v>
      </c>
      <c r="E13" s="2">
        <v>1</v>
      </c>
      <c r="F13" s="2">
        <v>1</v>
      </c>
      <c r="G13" s="2">
        <v>1</v>
      </c>
      <c r="H13" s="2">
        <v>1</v>
      </c>
      <c r="I13" s="4">
        <v>1</v>
      </c>
      <c r="J13" s="2">
        <v>1</v>
      </c>
      <c r="K13" s="2" t="b">
        <v>0</v>
      </c>
      <c r="L13" s="2">
        <v>3</v>
      </c>
      <c r="M13" s="2">
        <v>0</v>
      </c>
      <c r="N13" s="2">
        <v>0</v>
      </c>
    </row>
    <row r="14" spans="1:15" ht="322" x14ac:dyDescent="0.25">
      <c r="A14" s="2" t="s">
        <v>40</v>
      </c>
      <c r="B14" s="2" t="s">
        <v>41</v>
      </c>
      <c r="C14" s="2" t="s">
        <v>42</v>
      </c>
      <c r="D14" s="2" t="s">
        <v>137</v>
      </c>
      <c r="E14" s="2">
        <v>1</v>
      </c>
      <c r="F14" s="2">
        <v>1</v>
      </c>
      <c r="G14" s="2">
        <v>1</v>
      </c>
      <c r="H14" s="2">
        <v>1</v>
      </c>
      <c r="I14" s="4">
        <v>1</v>
      </c>
      <c r="J14" s="2">
        <v>1</v>
      </c>
      <c r="K14" s="2" t="b">
        <v>0</v>
      </c>
      <c r="L14" s="2">
        <v>1</v>
      </c>
      <c r="M14" s="2">
        <v>0</v>
      </c>
      <c r="N14" s="2">
        <v>0</v>
      </c>
    </row>
    <row r="15" spans="1:15" ht="266" x14ac:dyDescent="0.25">
      <c r="A15" s="2" t="s">
        <v>43</v>
      </c>
      <c r="B15" s="2" t="s">
        <v>41</v>
      </c>
      <c r="C15" s="2" t="s">
        <v>44</v>
      </c>
      <c r="D15" s="2" t="s">
        <v>132</v>
      </c>
      <c r="E15" s="2">
        <v>1</v>
      </c>
      <c r="F15" s="2">
        <v>1</v>
      </c>
      <c r="G15" s="2">
        <v>1</v>
      </c>
      <c r="H15" s="2">
        <v>1</v>
      </c>
      <c r="I15" s="4">
        <v>1</v>
      </c>
      <c r="J15" s="2">
        <v>1</v>
      </c>
      <c r="K15" s="2" t="b">
        <v>0</v>
      </c>
      <c r="L15" s="2">
        <v>3</v>
      </c>
      <c r="M15" s="2">
        <v>0</v>
      </c>
      <c r="N15" s="2">
        <v>0</v>
      </c>
    </row>
    <row r="16" spans="1:15" ht="406" x14ac:dyDescent="0.25">
      <c r="A16" s="2" t="s">
        <v>45</v>
      </c>
      <c r="B16" s="2" t="s">
        <v>41</v>
      </c>
      <c r="C16" s="2" t="s">
        <v>46</v>
      </c>
      <c r="D16" s="2" t="s">
        <v>138</v>
      </c>
      <c r="E16" s="2">
        <v>1</v>
      </c>
      <c r="F16" s="2">
        <v>1</v>
      </c>
      <c r="G16" s="2">
        <v>1</v>
      </c>
      <c r="H16" s="2">
        <v>1</v>
      </c>
      <c r="I16" s="4">
        <v>1</v>
      </c>
      <c r="J16" s="2">
        <v>1</v>
      </c>
      <c r="K16" s="2" t="b">
        <v>0</v>
      </c>
      <c r="L16" s="2">
        <v>3</v>
      </c>
      <c r="M16" s="2">
        <v>0</v>
      </c>
      <c r="N16" s="2">
        <v>0</v>
      </c>
    </row>
    <row r="17" spans="1:14" ht="280" x14ac:dyDescent="0.25">
      <c r="A17" s="2" t="s">
        <v>47</v>
      </c>
      <c r="B17" s="2" t="s">
        <v>41</v>
      </c>
      <c r="C17" s="2" t="s">
        <v>48</v>
      </c>
      <c r="D17" s="2" t="s">
        <v>139</v>
      </c>
      <c r="E17" s="2">
        <v>0</v>
      </c>
      <c r="F17" s="2">
        <v>1</v>
      </c>
      <c r="G17" s="2">
        <v>1</v>
      </c>
      <c r="H17" s="2">
        <v>0.33333333333333331</v>
      </c>
      <c r="I17" s="4">
        <v>0.5</v>
      </c>
      <c r="J17" s="2">
        <v>0.66700000000000004</v>
      </c>
      <c r="K17" s="2" t="b">
        <v>0</v>
      </c>
      <c r="L17" s="2">
        <v>1</v>
      </c>
      <c r="M17" s="2">
        <v>0</v>
      </c>
      <c r="N17" s="2">
        <v>1</v>
      </c>
    </row>
    <row r="18" spans="1:14" ht="409.5" x14ac:dyDescent="0.25">
      <c r="A18" s="2" t="s">
        <v>49</v>
      </c>
      <c r="B18" s="2" t="s">
        <v>41</v>
      </c>
      <c r="C18" s="2" t="s">
        <v>50</v>
      </c>
      <c r="D18" s="2" t="s">
        <v>140</v>
      </c>
      <c r="E18" s="2">
        <v>1</v>
      </c>
      <c r="F18" s="2">
        <v>1</v>
      </c>
      <c r="G18" s="2">
        <v>1</v>
      </c>
      <c r="H18" s="2">
        <v>1</v>
      </c>
      <c r="I18" s="4">
        <v>0.33300000000000002</v>
      </c>
      <c r="J18" s="2">
        <v>1</v>
      </c>
      <c r="K18" s="2" t="b">
        <v>0</v>
      </c>
      <c r="L18" s="2">
        <v>4</v>
      </c>
      <c r="M18" s="2">
        <v>0</v>
      </c>
      <c r="N18" s="2">
        <v>0</v>
      </c>
    </row>
    <row r="19" spans="1:14" ht="350" x14ac:dyDescent="0.25">
      <c r="A19" s="2" t="s">
        <v>51</v>
      </c>
      <c r="B19" s="2" t="s">
        <v>41</v>
      </c>
      <c r="C19" s="2" t="s">
        <v>52</v>
      </c>
      <c r="D19" s="2" t="s">
        <v>141</v>
      </c>
      <c r="E19" s="2">
        <v>0</v>
      </c>
      <c r="F19" s="2">
        <v>1</v>
      </c>
      <c r="G19" s="2">
        <v>1</v>
      </c>
      <c r="H19" s="2">
        <v>0.33333333333333331</v>
      </c>
      <c r="I19" s="4">
        <v>1</v>
      </c>
      <c r="J19" s="2">
        <v>1</v>
      </c>
      <c r="K19" s="2" t="b">
        <v>0</v>
      </c>
      <c r="L19" s="2">
        <v>3</v>
      </c>
      <c r="M19" s="2">
        <v>0</v>
      </c>
      <c r="N19" s="2">
        <v>0</v>
      </c>
    </row>
    <row r="20" spans="1:14" ht="183" x14ac:dyDescent="0.25">
      <c r="A20" s="2" t="s">
        <v>53</v>
      </c>
      <c r="B20" s="2" t="s">
        <v>41</v>
      </c>
      <c r="C20" s="2" t="s">
        <v>54</v>
      </c>
      <c r="D20" s="2" t="s">
        <v>142</v>
      </c>
      <c r="E20" s="2">
        <v>1</v>
      </c>
      <c r="F20" s="2">
        <v>1</v>
      </c>
      <c r="G20" s="2">
        <v>1</v>
      </c>
      <c r="H20" s="2">
        <v>1</v>
      </c>
      <c r="I20" s="4">
        <v>1</v>
      </c>
      <c r="J20" s="2">
        <v>1</v>
      </c>
      <c r="K20" s="2" t="b">
        <v>0</v>
      </c>
      <c r="L20" s="2">
        <v>1</v>
      </c>
      <c r="M20" s="2">
        <v>0</v>
      </c>
      <c r="N20" s="2">
        <v>0</v>
      </c>
    </row>
    <row r="21" spans="1:14" ht="252" x14ac:dyDescent="0.25">
      <c r="A21" s="2" t="s">
        <v>55</v>
      </c>
      <c r="B21" s="2" t="s">
        <v>41</v>
      </c>
      <c r="C21" s="2" t="s">
        <v>56</v>
      </c>
      <c r="D21" s="2" t="s">
        <v>143</v>
      </c>
      <c r="E21" s="2">
        <v>1</v>
      </c>
      <c r="F21" s="2">
        <v>1</v>
      </c>
      <c r="G21" s="2">
        <v>1</v>
      </c>
      <c r="H21" s="2">
        <v>1</v>
      </c>
      <c r="I21" s="4">
        <v>1</v>
      </c>
      <c r="J21" s="2">
        <v>0.66700000000000004</v>
      </c>
      <c r="K21" s="2" t="b">
        <v>0</v>
      </c>
      <c r="L21" s="2">
        <v>1</v>
      </c>
      <c r="M21" s="2">
        <v>1</v>
      </c>
      <c r="N21" s="2">
        <v>0</v>
      </c>
    </row>
    <row r="22" spans="1:14" ht="409.5" x14ac:dyDescent="0.25">
      <c r="A22" s="2" t="s">
        <v>57</v>
      </c>
      <c r="B22" s="2" t="s">
        <v>41</v>
      </c>
      <c r="C22" s="2" t="s">
        <v>58</v>
      </c>
      <c r="D22" s="2" t="s">
        <v>144</v>
      </c>
      <c r="E22" s="2">
        <v>1</v>
      </c>
      <c r="F22" s="2">
        <v>1</v>
      </c>
      <c r="G22" s="2">
        <v>1</v>
      </c>
      <c r="H22" s="2">
        <v>1</v>
      </c>
      <c r="I22" s="4">
        <v>1</v>
      </c>
      <c r="J22" s="2">
        <v>1</v>
      </c>
      <c r="K22" s="2" t="b">
        <v>0</v>
      </c>
      <c r="L22" s="2">
        <v>3</v>
      </c>
      <c r="M22" s="2">
        <v>0</v>
      </c>
      <c r="N22" s="2">
        <v>0</v>
      </c>
    </row>
    <row r="23" spans="1:14" ht="280" x14ac:dyDescent="0.25">
      <c r="A23" s="2" t="s">
        <v>59</v>
      </c>
      <c r="B23" s="2" t="s">
        <v>41</v>
      </c>
      <c r="C23" s="2" t="s">
        <v>60</v>
      </c>
      <c r="D23" s="2" t="s">
        <v>145</v>
      </c>
      <c r="E23" s="2">
        <v>1</v>
      </c>
      <c r="F23" s="2">
        <v>1</v>
      </c>
      <c r="G23" s="2">
        <v>1</v>
      </c>
      <c r="H23" s="2">
        <v>1</v>
      </c>
      <c r="I23" s="4">
        <v>1</v>
      </c>
      <c r="J23" s="2">
        <v>1</v>
      </c>
      <c r="K23" s="2" t="b">
        <v>0</v>
      </c>
      <c r="L23" s="2">
        <v>2</v>
      </c>
      <c r="M23" s="2">
        <v>0</v>
      </c>
      <c r="N23" s="2">
        <v>0</v>
      </c>
    </row>
    <row r="24" spans="1:14" ht="210" x14ac:dyDescent="0.25">
      <c r="A24" s="2" t="s">
        <v>61</v>
      </c>
      <c r="B24" s="2" t="s">
        <v>41</v>
      </c>
      <c r="C24" s="2" t="s">
        <v>62</v>
      </c>
      <c r="D24" s="2" t="s">
        <v>147</v>
      </c>
      <c r="E24" s="2">
        <v>1</v>
      </c>
      <c r="F24" s="2">
        <v>1</v>
      </c>
      <c r="G24" s="2">
        <v>1</v>
      </c>
      <c r="H24" s="2">
        <v>1</v>
      </c>
      <c r="I24" s="4">
        <v>1</v>
      </c>
      <c r="J24" s="2">
        <v>0.66700000000000004</v>
      </c>
      <c r="K24" s="2" t="b">
        <v>0</v>
      </c>
      <c r="L24" s="2">
        <v>1</v>
      </c>
      <c r="M24" s="2">
        <v>1</v>
      </c>
      <c r="N24" s="2">
        <v>0</v>
      </c>
    </row>
    <row r="25" spans="1:14" ht="336" x14ac:dyDescent="0.25">
      <c r="A25" s="2" t="s">
        <v>63</v>
      </c>
      <c r="B25" s="2" t="s">
        <v>64</v>
      </c>
      <c r="C25" s="2" t="s">
        <v>65</v>
      </c>
      <c r="D25" s="2" t="s">
        <v>149</v>
      </c>
      <c r="E25" s="2">
        <v>1</v>
      </c>
      <c r="F25" s="2">
        <v>1</v>
      </c>
      <c r="G25" s="2">
        <v>1</v>
      </c>
      <c r="H25" s="2">
        <v>1</v>
      </c>
      <c r="I25" s="4">
        <v>1</v>
      </c>
      <c r="J25" s="2">
        <v>1</v>
      </c>
      <c r="K25" s="2" t="b">
        <v>0</v>
      </c>
      <c r="L25" s="2">
        <v>2</v>
      </c>
      <c r="M25" s="2">
        <v>0</v>
      </c>
      <c r="N25" s="2">
        <v>0</v>
      </c>
    </row>
    <row r="26" spans="1:14" ht="196" x14ac:dyDescent="0.25">
      <c r="A26" s="2" t="s">
        <v>66</v>
      </c>
      <c r="B26" s="2" t="s">
        <v>64</v>
      </c>
      <c r="C26" s="2" t="s">
        <v>67</v>
      </c>
      <c r="D26" s="2" t="s">
        <v>150</v>
      </c>
      <c r="E26" s="2">
        <v>1</v>
      </c>
      <c r="F26" s="2">
        <v>1</v>
      </c>
      <c r="G26" s="2">
        <v>1</v>
      </c>
      <c r="H26" s="2">
        <v>1</v>
      </c>
      <c r="I26" s="4">
        <v>1</v>
      </c>
      <c r="J26" s="2">
        <v>1</v>
      </c>
      <c r="K26" s="2" t="b">
        <v>0</v>
      </c>
      <c r="L26" s="2">
        <v>1</v>
      </c>
      <c r="M26" s="2">
        <v>0</v>
      </c>
      <c r="N26" s="2">
        <v>0</v>
      </c>
    </row>
    <row r="27" spans="1:14" ht="182" x14ac:dyDescent="0.25">
      <c r="A27" s="2" t="s">
        <v>68</v>
      </c>
      <c r="B27" s="2" t="s">
        <v>64</v>
      </c>
      <c r="C27" s="2" t="s">
        <v>69</v>
      </c>
      <c r="D27" s="2" t="s">
        <v>152</v>
      </c>
      <c r="E27" s="2">
        <v>1</v>
      </c>
      <c r="F27" s="2">
        <v>1</v>
      </c>
      <c r="G27" s="2">
        <v>1</v>
      </c>
      <c r="H27" s="2">
        <v>1</v>
      </c>
      <c r="I27" s="4">
        <v>1</v>
      </c>
      <c r="J27" s="2">
        <v>1</v>
      </c>
      <c r="K27" s="2" t="b">
        <v>0</v>
      </c>
      <c r="L27" s="2">
        <v>2</v>
      </c>
      <c r="M27" s="2">
        <v>0</v>
      </c>
      <c r="N27" s="2">
        <v>0</v>
      </c>
    </row>
    <row r="28" spans="1:14" ht="154" x14ac:dyDescent="0.25">
      <c r="A28" s="2" t="s">
        <v>70</v>
      </c>
      <c r="B28" s="2" t="s">
        <v>64</v>
      </c>
      <c r="C28" s="2" t="s">
        <v>71</v>
      </c>
      <c r="D28" s="2" t="s">
        <v>148</v>
      </c>
      <c r="E28" s="2">
        <v>1</v>
      </c>
      <c r="F28" s="2">
        <v>1</v>
      </c>
      <c r="G28" s="2">
        <v>1</v>
      </c>
      <c r="H28" s="2">
        <v>1</v>
      </c>
      <c r="I28" s="4">
        <v>1</v>
      </c>
      <c r="J28" s="2">
        <v>1</v>
      </c>
      <c r="K28" s="2" t="b">
        <v>0</v>
      </c>
      <c r="L28" s="2">
        <v>1</v>
      </c>
      <c r="M28" s="2">
        <v>0</v>
      </c>
      <c r="N28" s="2">
        <v>0</v>
      </c>
    </row>
    <row r="29" spans="1:14" ht="126" x14ac:dyDescent="0.25">
      <c r="A29" s="2" t="s">
        <v>72</v>
      </c>
      <c r="B29" s="2" t="s">
        <v>64</v>
      </c>
      <c r="C29" s="2" t="s">
        <v>73</v>
      </c>
      <c r="D29" s="2" t="s">
        <v>135</v>
      </c>
      <c r="E29" s="2">
        <v>1</v>
      </c>
      <c r="F29" s="2">
        <v>1</v>
      </c>
      <c r="G29" s="2">
        <v>1</v>
      </c>
      <c r="H29" s="2">
        <v>1</v>
      </c>
      <c r="I29" s="4">
        <v>1</v>
      </c>
      <c r="J29" s="2">
        <v>1</v>
      </c>
      <c r="K29" s="2" t="b">
        <v>0</v>
      </c>
      <c r="L29" s="2">
        <v>1</v>
      </c>
      <c r="M29" s="2">
        <v>0</v>
      </c>
      <c r="N29" s="2">
        <v>0</v>
      </c>
    </row>
    <row r="30" spans="1:14" ht="168" x14ac:dyDescent="0.25">
      <c r="A30" s="2" t="s">
        <v>74</v>
      </c>
      <c r="B30" s="2" t="s">
        <v>64</v>
      </c>
      <c r="C30" s="2" t="s">
        <v>75</v>
      </c>
      <c r="D30" s="2" t="s">
        <v>153</v>
      </c>
      <c r="E30" s="2">
        <v>1</v>
      </c>
      <c r="F30" s="2">
        <v>1</v>
      </c>
      <c r="G30" s="2">
        <v>1</v>
      </c>
      <c r="H30" s="2">
        <v>1</v>
      </c>
      <c r="I30" s="4">
        <v>1</v>
      </c>
      <c r="J30" s="2">
        <v>1</v>
      </c>
      <c r="K30" s="2" t="b">
        <v>0</v>
      </c>
      <c r="L30" s="2">
        <v>3</v>
      </c>
      <c r="M30" s="2">
        <v>0</v>
      </c>
      <c r="N30" s="2">
        <v>0</v>
      </c>
    </row>
    <row r="31" spans="1:14" ht="224" x14ac:dyDescent="0.25">
      <c r="A31" s="2" t="s">
        <v>76</v>
      </c>
      <c r="B31" s="2" t="s">
        <v>64</v>
      </c>
      <c r="C31" s="2" t="s">
        <v>77</v>
      </c>
      <c r="D31" s="2" t="s">
        <v>128</v>
      </c>
      <c r="E31" s="2">
        <v>1</v>
      </c>
      <c r="F31" s="2">
        <v>1</v>
      </c>
      <c r="G31" s="2">
        <v>1</v>
      </c>
      <c r="H31" s="2">
        <v>1</v>
      </c>
      <c r="I31" s="4">
        <v>1</v>
      </c>
      <c r="J31" s="2">
        <v>1</v>
      </c>
      <c r="K31" s="2" t="b">
        <v>0</v>
      </c>
      <c r="L31" s="2">
        <v>3</v>
      </c>
      <c r="M31" s="2">
        <v>0</v>
      </c>
      <c r="N31" s="2">
        <v>0</v>
      </c>
    </row>
    <row r="32" spans="1:14" ht="409.5" x14ac:dyDescent="0.25">
      <c r="A32" s="2" t="s">
        <v>78</v>
      </c>
      <c r="B32" s="2" t="s">
        <v>64</v>
      </c>
      <c r="C32" s="2" t="s">
        <v>79</v>
      </c>
      <c r="D32" s="2" t="s">
        <v>129</v>
      </c>
      <c r="E32" s="2">
        <v>1</v>
      </c>
      <c r="F32" s="2">
        <v>1</v>
      </c>
      <c r="G32" s="2">
        <v>1</v>
      </c>
      <c r="H32" s="2">
        <v>1</v>
      </c>
      <c r="I32" s="4">
        <v>0.5</v>
      </c>
      <c r="J32" s="2">
        <v>1</v>
      </c>
      <c r="K32" s="2" t="b">
        <v>0</v>
      </c>
      <c r="L32" s="2">
        <v>3</v>
      </c>
      <c r="M32" s="2">
        <v>0</v>
      </c>
      <c r="N32" s="2">
        <v>0</v>
      </c>
    </row>
    <row r="33" spans="1:15" ht="409.5" x14ac:dyDescent="0.25">
      <c r="A33" s="2" t="s">
        <v>80</v>
      </c>
      <c r="B33" s="2" t="s">
        <v>64</v>
      </c>
      <c r="C33" s="2" t="s">
        <v>81</v>
      </c>
      <c r="D33" s="2" t="s">
        <v>155</v>
      </c>
      <c r="E33" s="2">
        <v>1</v>
      </c>
      <c r="F33" s="2">
        <v>1</v>
      </c>
      <c r="G33" s="2">
        <v>1</v>
      </c>
      <c r="H33" s="2">
        <v>1</v>
      </c>
      <c r="I33" s="4">
        <v>1</v>
      </c>
      <c r="J33" s="2">
        <v>1</v>
      </c>
      <c r="K33" s="2" t="b">
        <v>0</v>
      </c>
      <c r="L33" s="2">
        <v>3</v>
      </c>
      <c r="M33" s="2">
        <v>0</v>
      </c>
      <c r="N33" s="2">
        <v>0</v>
      </c>
    </row>
    <row r="34" spans="1:15" ht="280" x14ac:dyDescent="0.25">
      <c r="A34" s="2" t="s">
        <v>82</v>
      </c>
      <c r="B34" s="2" t="s">
        <v>64</v>
      </c>
      <c r="C34" s="2" t="s">
        <v>83</v>
      </c>
      <c r="D34" s="2" t="s">
        <v>156</v>
      </c>
      <c r="E34" s="2">
        <v>1</v>
      </c>
      <c r="F34" s="2">
        <v>1</v>
      </c>
      <c r="G34" s="2">
        <v>1</v>
      </c>
      <c r="H34" s="2">
        <v>1</v>
      </c>
      <c r="I34" s="4">
        <v>1</v>
      </c>
      <c r="J34" s="2">
        <v>1</v>
      </c>
      <c r="K34" s="2" t="b">
        <v>0</v>
      </c>
      <c r="L34" s="2">
        <v>3</v>
      </c>
      <c r="M34" s="2">
        <v>0</v>
      </c>
      <c r="N34" s="2">
        <v>0</v>
      </c>
    </row>
    <row r="35" spans="1:15" ht="182" x14ac:dyDescent="0.25">
      <c r="A35" s="2" t="s">
        <v>84</v>
      </c>
      <c r="B35" s="2" t="s">
        <v>64</v>
      </c>
      <c r="C35" s="2" t="s">
        <v>85</v>
      </c>
      <c r="D35" s="2" t="s">
        <v>157</v>
      </c>
      <c r="E35" s="2">
        <v>1</v>
      </c>
      <c r="F35" s="2">
        <v>1</v>
      </c>
      <c r="G35" s="2">
        <v>1</v>
      </c>
      <c r="H35" s="2">
        <v>1</v>
      </c>
      <c r="I35" s="4">
        <v>1</v>
      </c>
      <c r="J35" s="2">
        <v>0.66700000000000004</v>
      </c>
      <c r="K35" s="2" t="b">
        <v>0</v>
      </c>
      <c r="L35" s="2">
        <v>1</v>
      </c>
      <c r="M35" s="2">
        <v>0</v>
      </c>
      <c r="N35" s="2">
        <v>1</v>
      </c>
    </row>
    <row r="36" spans="1:15" ht="336" x14ac:dyDescent="0.25">
      <c r="A36" s="2" t="s">
        <v>86</v>
      </c>
      <c r="B36" s="2" t="s">
        <v>87</v>
      </c>
      <c r="C36" s="2" t="s">
        <v>88</v>
      </c>
      <c r="D36" s="2" t="s">
        <v>151</v>
      </c>
      <c r="E36" s="2">
        <v>1</v>
      </c>
      <c r="F36" s="2">
        <v>1</v>
      </c>
      <c r="G36" s="2">
        <v>1</v>
      </c>
      <c r="H36" s="2">
        <v>1</v>
      </c>
      <c r="I36" s="4">
        <v>0.5</v>
      </c>
      <c r="J36" s="2">
        <v>1</v>
      </c>
      <c r="K36" s="2" t="b">
        <v>0</v>
      </c>
      <c r="L36" s="2">
        <v>2</v>
      </c>
      <c r="M36" s="2">
        <v>0</v>
      </c>
      <c r="N36" s="2">
        <v>0</v>
      </c>
    </row>
    <row r="37" spans="1:15" ht="409.5" x14ac:dyDescent="0.25">
      <c r="A37" s="2" t="s">
        <v>89</v>
      </c>
      <c r="B37" s="2" t="s">
        <v>87</v>
      </c>
      <c r="C37" s="2" t="s">
        <v>90</v>
      </c>
      <c r="D37" s="2" t="s">
        <v>158</v>
      </c>
      <c r="E37" s="2">
        <v>0</v>
      </c>
      <c r="F37" s="2">
        <v>1</v>
      </c>
      <c r="G37" s="2">
        <v>1</v>
      </c>
      <c r="H37" s="2">
        <v>0.5</v>
      </c>
      <c r="I37" s="4">
        <v>1</v>
      </c>
      <c r="J37" s="2">
        <v>1</v>
      </c>
      <c r="K37" s="2" t="b">
        <v>0</v>
      </c>
      <c r="L37" s="2">
        <v>2</v>
      </c>
      <c r="M37" s="2">
        <v>0</v>
      </c>
      <c r="N37" s="2">
        <v>0</v>
      </c>
    </row>
    <row r="38" spans="1:15" ht="409.5" x14ac:dyDescent="0.25">
      <c r="A38" s="2" t="s">
        <v>91</v>
      </c>
      <c r="B38" s="2" t="s">
        <v>87</v>
      </c>
      <c r="C38" s="2" t="s">
        <v>92</v>
      </c>
      <c r="D38" s="2" t="s">
        <v>159</v>
      </c>
      <c r="E38" s="2">
        <v>0</v>
      </c>
      <c r="F38" s="2">
        <v>0</v>
      </c>
      <c r="G38" s="2">
        <v>0</v>
      </c>
      <c r="H38" s="2">
        <v>0</v>
      </c>
      <c r="I38" s="4">
        <v>0.66700000000000004</v>
      </c>
      <c r="J38" s="2">
        <v>0.85699999999999998</v>
      </c>
      <c r="K38" s="2" t="b">
        <v>0</v>
      </c>
      <c r="L38" s="2">
        <v>3</v>
      </c>
      <c r="M38" s="2">
        <v>0</v>
      </c>
      <c r="N38" s="2">
        <v>1</v>
      </c>
    </row>
    <row r="39" spans="1:15" s="5" customFormat="1" ht="409.5" x14ac:dyDescent="0.25">
      <c r="A39" s="5" t="s">
        <v>93</v>
      </c>
      <c r="B39" s="5" t="s">
        <v>87</v>
      </c>
      <c r="C39" s="5" t="s">
        <v>94</v>
      </c>
      <c r="D39" s="5" t="s">
        <v>125</v>
      </c>
      <c r="E39" s="5">
        <v>0</v>
      </c>
      <c r="F39" s="5">
        <v>0</v>
      </c>
      <c r="G39" s="5">
        <v>1</v>
      </c>
      <c r="H39" s="5">
        <v>0.2</v>
      </c>
      <c r="I39" s="5">
        <v>0</v>
      </c>
      <c r="J39" s="5">
        <v>0.66700000000000004</v>
      </c>
      <c r="K39" s="5" t="b">
        <v>0</v>
      </c>
      <c r="L39" s="5">
        <v>1</v>
      </c>
      <c r="M39" s="5">
        <v>0</v>
      </c>
      <c r="N39" s="5">
        <v>1</v>
      </c>
    </row>
    <row r="40" spans="1:15" ht="409.5" x14ac:dyDescent="0.25">
      <c r="A40" s="2" t="s">
        <v>95</v>
      </c>
      <c r="B40" s="2" t="s">
        <v>87</v>
      </c>
      <c r="C40" s="2" t="s">
        <v>96</v>
      </c>
      <c r="D40" s="2" t="s">
        <v>154</v>
      </c>
      <c r="E40" s="2">
        <v>1</v>
      </c>
      <c r="F40" s="2">
        <v>1</v>
      </c>
      <c r="G40" s="2">
        <v>1</v>
      </c>
      <c r="H40" s="2">
        <v>1</v>
      </c>
      <c r="I40" s="4">
        <v>1</v>
      </c>
      <c r="J40" s="2">
        <v>0.5</v>
      </c>
      <c r="K40" s="2" t="b">
        <v>0</v>
      </c>
      <c r="L40" s="2">
        <v>2</v>
      </c>
      <c r="M40" s="2">
        <v>0</v>
      </c>
      <c r="N40" s="2">
        <v>4</v>
      </c>
    </row>
    <row r="41" spans="1:15" ht="409.5" x14ac:dyDescent="0.25">
      <c r="A41" s="2" t="s">
        <v>97</v>
      </c>
      <c r="B41" s="2" t="s">
        <v>87</v>
      </c>
      <c r="C41" s="2" t="s">
        <v>98</v>
      </c>
      <c r="D41" s="2" t="s">
        <v>160</v>
      </c>
      <c r="E41" s="2">
        <v>1</v>
      </c>
      <c r="F41" s="2">
        <v>1</v>
      </c>
      <c r="G41" s="2">
        <v>1</v>
      </c>
      <c r="H41" s="2">
        <v>1</v>
      </c>
      <c r="I41" s="4">
        <v>1</v>
      </c>
      <c r="J41" s="2">
        <v>0.8</v>
      </c>
      <c r="K41" s="2" t="b">
        <v>0</v>
      </c>
      <c r="L41" s="2">
        <v>2</v>
      </c>
      <c r="M41" s="2">
        <v>0</v>
      </c>
      <c r="N41" s="2">
        <v>1</v>
      </c>
    </row>
    <row r="42" spans="1:15" ht="409.5" x14ac:dyDescent="0.25">
      <c r="A42" s="2" t="s">
        <v>99</v>
      </c>
      <c r="B42" s="2" t="s">
        <v>87</v>
      </c>
      <c r="C42" s="2" t="s">
        <v>100</v>
      </c>
      <c r="D42" s="2" t="s">
        <v>161</v>
      </c>
      <c r="E42" s="2">
        <v>0</v>
      </c>
      <c r="F42" s="2">
        <v>0</v>
      </c>
      <c r="G42" s="2">
        <v>1</v>
      </c>
      <c r="H42" s="2">
        <v>0.25</v>
      </c>
      <c r="I42" s="4">
        <v>0.5</v>
      </c>
      <c r="J42" s="2">
        <v>0.8</v>
      </c>
      <c r="K42" s="2" t="b">
        <v>0</v>
      </c>
      <c r="L42" s="2">
        <v>4</v>
      </c>
      <c r="M42" s="2">
        <v>0</v>
      </c>
      <c r="N42" s="2">
        <v>2</v>
      </c>
    </row>
    <row r="43" spans="1:15" ht="409.5" x14ac:dyDescent="0.25">
      <c r="A43" s="2" t="s">
        <v>101</v>
      </c>
      <c r="B43" s="2" t="s">
        <v>87</v>
      </c>
      <c r="C43" s="2" t="s">
        <v>102</v>
      </c>
      <c r="D43" s="2" t="s">
        <v>146</v>
      </c>
      <c r="E43" s="2">
        <v>1</v>
      </c>
      <c r="F43" s="2">
        <v>1</v>
      </c>
      <c r="G43" s="2">
        <v>1</v>
      </c>
      <c r="H43" s="2">
        <v>1</v>
      </c>
      <c r="I43" s="4">
        <v>0.5</v>
      </c>
      <c r="J43" s="2">
        <v>0.66700000000000004</v>
      </c>
      <c r="K43" s="2" t="b">
        <v>0</v>
      </c>
      <c r="L43" s="2">
        <v>2</v>
      </c>
      <c r="M43" s="2">
        <v>1</v>
      </c>
      <c r="N43" s="2">
        <v>1</v>
      </c>
    </row>
    <row r="44" spans="1:15" ht="56" x14ac:dyDescent="0.25">
      <c r="A44" s="2" t="s">
        <v>103</v>
      </c>
      <c r="B44" s="2" t="s">
        <v>104</v>
      </c>
      <c r="C44" s="2" t="s">
        <v>105</v>
      </c>
      <c r="D44" s="2" t="s">
        <v>106</v>
      </c>
      <c r="J44" s="2">
        <v>1</v>
      </c>
      <c r="K44" s="2" t="b">
        <v>1</v>
      </c>
      <c r="L44" s="2">
        <v>1</v>
      </c>
      <c r="M44" s="2">
        <v>0</v>
      </c>
      <c r="N44" s="2">
        <v>0</v>
      </c>
      <c r="O44" s="2" t="b">
        <v>1</v>
      </c>
    </row>
    <row r="45" spans="1:15" ht="70" x14ac:dyDescent="0.25">
      <c r="A45" s="2" t="s">
        <v>107</v>
      </c>
      <c r="B45" s="2" t="s">
        <v>104</v>
      </c>
      <c r="C45" s="2" t="s">
        <v>105</v>
      </c>
      <c r="D45" s="2" t="s">
        <v>106</v>
      </c>
      <c r="J45" s="2">
        <v>1</v>
      </c>
      <c r="K45" s="2" t="b">
        <v>1</v>
      </c>
      <c r="L45" s="2">
        <v>1</v>
      </c>
      <c r="M45" s="2">
        <v>0</v>
      </c>
      <c r="N45" s="2">
        <v>0</v>
      </c>
      <c r="O45" s="2" t="b">
        <v>1</v>
      </c>
    </row>
    <row r="46" spans="1:15" ht="42" x14ac:dyDescent="0.25">
      <c r="A46" s="2" t="s">
        <v>108</v>
      </c>
      <c r="B46" s="2" t="s">
        <v>104</v>
      </c>
      <c r="C46" s="2" t="s">
        <v>105</v>
      </c>
      <c r="D46" s="2" t="s">
        <v>106</v>
      </c>
      <c r="J46" s="2">
        <v>1</v>
      </c>
      <c r="K46" s="2" t="b">
        <v>1</v>
      </c>
      <c r="L46" s="2">
        <v>1</v>
      </c>
      <c r="M46" s="2">
        <v>0</v>
      </c>
      <c r="N46" s="2">
        <v>0</v>
      </c>
      <c r="O46" s="2" t="b">
        <v>1</v>
      </c>
    </row>
    <row r="47" spans="1:15" ht="84" x14ac:dyDescent="0.25">
      <c r="A47" s="2" t="s">
        <v>109</v>
      </c>
      <c r="B47" s="2" t="s">
        <v>104</v>
      </c>
      <c r="C47" s="2" t="s">
        <v>105</v>
      </c>
      <c r="D47" s="2" t="s">
        <v>106</v>
      </c>
      <c r="J47" s="2">
        <v>1</v>
      </c>
      <c r="K47" s="2" t="b">
        <v>1</v>
      </c>
      <c r="L47" s="2">
        <v>1</v>
      </c>
      <c r="M47" s="2">
        <v>0</v>
      </c>
      <c r="N47" s="2">
        <v>0</v>
      </c>
      <c r="O47" s="2" t="b">
        <v>1</v>
      </c>
    </row>
    <row r="48" spans="1:15" ht="42" x14ac:dyDescent="0.25">
      <c r="A48" s="2" t="s">
        <v>110</v>
      </c>
      <c r="B48" s="2" t="s">
        <v>104</v>
      </c>
      <c r="C48" s="2" t="s">
        <v>105</v>
      </c>
      <c r="D48" s="2" t="s">
        <v>106</v>
      </c>
      <c r="J48" s="2">
        <v>1</v>
      </c>
      <c r="K48" s="2" t="b">
        <v>1</v>
      </c>
      <c r="L48" s="2">
        <v>1</v>
      </c>
      <c r="M48" s="2">
        <v>0</v>
      </c>
      <c r="N48" s="2">
        <v>0</v>
      </c>
      <c r="O48" s="2" t="b">
        <v>1</v>
      </c>
    </row>
    <row r="49" spans="1:15" ht="56" x14ac:dyDescent="0.25">
      <c r="A49" s="2" t="s">
        <v>111</v>
      </c>
      <c r="B49" s="2" t="s">
        <v>104</v>
      </c>
      <c r="C49" s="2" t="s">
        <v>105</v>
      </c>
      <c r="D49" s="2" t="s">
        <v>106</v>
      </c>
      <c r="J49" s="2">
        <v>1</v>
      </c>
      <c r="K49" s="2" t="b">
        <v>1</v>
      </c>
      <c r="L49" s="2">
        <v>1</v>
      </c>
      <c r="M49" s="2">
        <v>0</v>
      </c>
      <c r="N49" s="2">
        <v>0</v>
      </c>
      <c r="O49" s="2" t="b">
        <v>1</v>
      </c>
    </row>
    <row r="50" spans="1:15" ht="56" x14ac:dyDescent="0.25">
      <c r="A50" s="2" t="s">
        <v>112</v>
      </c>
      <c r="B50" s="2" t="s">
        <v>104</v>
      </c>
      <c r="C50" s="2" t="s">
        <v>105</v>
      </c>
      <c r="D50" s="2" t="s">
        <v>106</v>
      </c>
      <c r="J50" s="2">
        <v>1</v>
      </c>
      <c r="K50" s="2" t="b">
        <v>1</v>
      </c>
      <c r="L50" s="2">
        <v>1</v>
      </c>
      <c r="M50" s="2">
        <v>0</v>
      </c>
      <c r="N50" s="2">
        <v>0</v>
      </c>
      <c r="O50" s="2" t="b">
        <v>1</v>
      </c>
    </row>
    <row r="51" spans="1:15" ht="56" x14ac:dyDescent="0.25">
      <c r="A51" s="2" t="s">
        <v>113</v>
      </c>
      <c r="B51" s="2" t="s">
        <v>104</v>
      </c>
      <c r="C51" s="2" t="s">
        <v>105</v>
      </c>
      <c r="D51" s="2" t="s">
        <v>106</v>
      </c>
      <c r="J51" s="2">
        <v>1</v>
      </c>
      <c r="K51" s="2" t="b">
        <v>1</v>
      </c>
      <c r="L51" s="2">
        <v>1</v>
      </c>
      <c r="M51" s="2">
        <v>0</v>
      </c>
      <c r="N51" s="2">
        <v>0</v>
      </c>
      <c r="O51" s="2" t="b">
        <v>1</v>
      </c>
    </row>
    <row r="53" spans="1:15" x14ac:dyDescent="0.25">
      <c r="A53" s="2" t="s">
        <v>114</v>
      </c>
      <c r="E53" s="2">
        <f>AVERAGEIFS(E2:E51,K2:K51,FALSE)</f>
        <v>0.80952380952380953</v>
      </c>
      <c r="F53" s="2">
        <f>AVERAGEIFS(F2:F51,K2:K51,FALSE)</f>
        <v>0.9285714285714286</v>
      </c>
      <c r="G53" s="2">
        <f>AVERAGEIFS(G2:G51,K2:K51,FALSE)</f>
        <v>0.97619047619047616</v>
      </c>
      <c r="H53" s="2">
        <f>AVERAGEIFS(H2:H51,K2:K51,FALSE)</f>
        <v>0.86388888888888904</v>
      </c>
      <c r="I53" s="4">
        <f>AVERAGEIFS(I2:I51,K2:K51,FALSE)</f>
        <v>0.88095238095238093</v>
      </c>
      <c r="J53" s="2">
        <f>AVERAGE(J2:J51)</f>
        <v>0.92165999999999992</v>
      </c>
      <c r="L53" s="2">
        <f>AVERAGE(L2:L51)</f>
        <v>1.98</v>
      </c>
      <c r="M53" s="2">
        <f>AVERAGE(M2:M51)</f>
        <v>0.06</v>
      </c>
      <c r="N53" s="2">
        <f>AVERAGE(N2:N51)</f>
        <v>0.34</v>
      </c>
    </row>
    <row r="54" spans="1:15" x14ac:dyDescent="0.25">
      <c r="A54" s="2" t="s">
        <v>115</v>
      </c>
      <c r="B54" s="2" t="s">
        <v>16</v>
      </c>
      <c r="E54" s="2">
        <f>AVERAGEIFS(E2:E51,B2:B51,"定义类",K2:K51,FALSE)</f>
        <v>0.83333333333333337</v>
      </c>
      <c r="F54" s="2">
        <f>AVERAGEIFS(F2:F51,B2:B51,"定义类",K2:K51,FALSE)</f>
        <v>1</v>
      </c>
      <c r="G54" s="2">
        <f>AVERAGEIFS(G2:G51,B2:B51,"定义类",K2:K51,FALSE)</f>
        <v>1</v>
      </c>
      <c r="H54" s="2">
        <f>AVERAGEIFS(H2:H51,B2:B51,"定义类",K2:K51,FALSE)</f>
        <v>0.88888888888888884</v>
      </c>
      <c r="I54" s="4">
        <f>AVERAGEIFS(I2:I51,B2:B51,"定义类",K2:K51,FALSE)</f>
        <v>0.95833333333333337</v>
      </c>
      <c r="J54" s="2">
        <f>AVERAGEIF(B2:B51,"定义类",J2:J51)</f>
        <v>0.92699999999999994</v>
      </c>
      <c r="L54" s="2">
        <f>AVERAGEIF(B2:B51,"定义类",L2:L51)</f>
        <v>2.25</v>
      </c>
      <c r="M54" s="2">
        <f>AVERAGEIF(B2:B51,"定义类",M2:M51)</f>
        <v>0</v>
      </c>
      <c r="N54" s="2">
        <f>AVERAGEIF(B2:B51,"定义类",N2:N51)</f>
        <v>0.41666666666666669</v>
      </c>
    </row>
    <row r="55" spans="1:15" ht="28" x14ac:dyDescent="0.25">
      <c r="A55" s="2" t="s">
        <v>116</v>
      </c>
      <c r="B55" s="2" t="s">
        <v>41</v>
      </c>
      <c r="E55" s="2">
        <f>AVERAGEIFS(E2:E51,B2:B51,"方法细节类",K2:K51,FALSE)</f>
        <v>0.81818181818181823</v>
      </c>
      <c r="F55" s="2">
        <f>AVERAGEIFS(F2:F51,B2:B51,"方法细节类",K2:K51,FALSE)</f>
        <v>1</v>
      </c>
      <c r="G55" s="2">
        <f>AVERAGEIFS(G2:G51,B2:B51,"方法细节类",K2:K51,FALSE)</f>
        <v>1</v>
      </c>
      <c r="H55" s="2">
        <f>AVERAGEIFS(H2:H51,B2:B51,"方法细节类",K2:K51,FALSE)</f>
        <v>0.8787878787878789</v>
      </c>
      <c r="I55" s="4">
        <f>AVERAGEIFS(I2:I51,B2:B51,"方法细节类",K2:K51,FALSE)</f>
        <v>0.89390909090909088</v>
      </c>
      <c r="J55" s="2">
        <f>AVERAGEIF(B2:B51,"方法细节类",J2:J51)</f>
        <v>0.90918181818181809</v>
      </c>
      <c r="L55" s="2">
        <f>AVERAGEIF(B2:B51,"方法细节类",L2:L51)</f>
        <v>2.0909090909090908</v>
      </c>
      <c r="M55" s="2">
        <f>AVERAGEIF(B2:B51,"方法细节类",M2:M51)</f>
        <v>0.18181818181818182</v>
      </c>
      <c r="N55" s="2">
        <f>AVERAGEIF(B2:B51,"方法细节类",N2:N51)</f>
        <v>9.0909090909090912E-2</v>
      </c>
    </row>
    <row r="56" spans="1:15" ht="28" x14ac:dyDescent="0.25">
      <c r="A56" s="2" t="s">
        <v>117</v>
      </c>
      <c r="B56" s="2" t="s">
        <v>64</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0.96972727272727266</v>
      </c>
      <c r="L56" s="2">
        <f>AVERAGEIF(B2:B51,"实验结果类",L2:L51)</f>
        <v>2.0909090909090908</v>
      </c>
      <c r="M56" s="2">
        <f>AVERAGEIF(B2:B51,"实验结果类",M2:M51)</f>
        <v>0</v>
      </c>
      <c r="N56" s="2">
        <f>AVERAGEIF(B2:B51,"实验结果类",N2:N51)</f>
        <v>9.0909090909090912E-2</v>
      </c>
    </row>
    <row r="57" spans="1:15" ht="28" x14ac:dyDescent="0.25">
      <c r="A57" s="2" t="s">
        <v>118</v>
      </c>
      <c r="B57" s="2" t="s">
        <v>87</v>
      </c>
      <c r="E57" s="2">
        <f>AVERAGEIFS(E2:E51,B2:B51,"跨论文比较类",K2:K51,FALSE)</f>
        <v>0.5</v>
      </c>
      <c r="F57" s="2">
        <f>AVERAGEIFS(F2:F51,B2:B51,"跨论文比较类",K2:K51,FALSE)</f>
        <v>0.625</v>
      </c>
      <c r="G57" s="2">
        <f>AVERAGEIFS(G2:G51,B2:B51,"跨论文比较类",K2:K51,FALSE)</f>
        <v>0.875</v>
      </c>
      <c r="H57" s="2">
        <f>AVERAGEIFS(H2:H51,B2:B51,"跨论文比较类",K2:K51,FALSE)</f>
        <v>0.61875000000000002</v>
      </c>
      <c r="I57" s="4">
        <f>AVERAGEIFS(I2:I51,B2:B51,"跨论文比较类",K2:K51,FALSE)</f>
        <v>0.64587499999999998</v>
      </c>
      <c r="J57" s="2">
        <f>AVERAGEIF(B2:B51,"跨论文比较类",J2:J51)</f>
        <v>0.78637499999999994</v>
      </c>
      <c r="L57" s="2">
        <f>AVERAGEIF(B2:B51,"跨论文比较类",L2:L51)</f>
        <v>2.25</v>
      </c>
      <c r="M57" s="2">
        <f>AVERAGEIF(B2:B51,"跨论文比较类",M2:M51)</f>
        <v>0.125</v>
      </c>
      <c r="N57" s="2">
        <f>AVERAGEIF(B2:B51,"跨论文比较类",N2:N51)</f>
        <v>1.25</v>
      </c>
    </row>
    <row r="58" spans="1:15" ht="28" x14ac:dyDescent="0.25">
      <c r="A58" s="2" t="s">
        <v>119</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2026-06-03T12:54:32Z</dcterms:created>
  <dcterms:modified xsi:type="dcterms:W3CDTF">2026-06-09T12:09:56Z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85282645-e784-4acb-9c34-d89654e24061</vt:lpwstr>
  </property>
</Properties>
</file>