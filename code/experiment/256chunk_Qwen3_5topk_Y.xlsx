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E:\rag_project\code\experiment\"/>
    </mc:Choice>
  </mc:AlternateContent>
  <xr:revisionPtr revIDLastSave="0" documentId="13_ncr:1_{712A5176-AE70-4391-90D0-4A097868239C}" xr6:coauthVersionLast="47" xr6:coauthVersionMax="47" xr10:uidLastSave="{00000000-0000-0000-0000-000000000000}"/>
  <bookViews>
    <workbookView xWindow="-110" yWindow="-110" windowWidth="25820" windowHeight="139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58" i="1" l="1"/>
  <c r="M58" i="1"/>
  <c r="L58" i="1"/>
  <c r="J58" i="1"/>
  <c r="I58" i="1"/>
  <c r="H58" i="1"/>
  <c r="G58" i="1"/>
  <c r="F58" i="1"/>
  <c r="E58" i="1"/>
  <c r="N57" i="1"/>
  <c r="M57" i="1"/>
  <c r="L57" i="1"/>
  <c r="J57" i="1"/>
  <c r="I57" i="1"/>
  <c r="H57" i="1"/>
  <c r="G57" i="1"/>
  <c r="F57" i="1"/>
  <c r="E57" i="1"/>
  <c r="N56" i="1"/>
  <c r="M56" i="1"/>
  <c r="L56" i="1"/>
  <c r="J56" i="1"/>
  <c r="I56" i="1"/>
  <c r="H56" i="1"/>
  <c r="G56" i="1"/>
  <c r="F56" i="1"/>
  <c r="E56" i="1"/>
  <c r="N55" i="1"/>
  <c r="M55" i="1"/>
  <c r="L55" i="1"/>
  <c r="J55" i="1"/>
  <c r="I55" i="1"/>
  <c r="H55" i="1"/>
  <c r="G55" i="1"/>
  <c r="F55" i="1"/>
  <c r="E55" i="1"/>
  <c r="N54" i="1"/>
  <c r="M54" i="1"/>
  <c r="L54" i="1"/>
  <c r="J54" i="1"/>
  <c r="I54" i="1"/>
  <c r="H54" i="1"/>
  <c r="G54" i="1"/>
  <c r="F54" i="1"/>
  <c r="E54" i="1"/>
  <c r="N53" i="1"/>
  <c r="M53" i="1"/>
  <c r="L53" i="1"/>
  <c r="J53" i="1"/>
  <c r="I53" i="1"/>
  <c r="H53" i="1"/>
  <c r="G53" i="1"/>
  <c r="F53" i="1"/>
  <c r="E53" i="1"/>
</calcChain>
</file>

<file path=xl/sharedStrings.xml><?xml version="1.0" encoding="utf-8"?>
<sst xmlns="http://schemas.openxmlformats.org/spreadsheetml/2006/main" count="226" uniqueCount="162">
  <si>
    <t>question</t>
  </si>
  <si>
    <t>question_type</t>
  </si>
  <si>
    <t>gold_answer</t>
  </si>
  <si>
    <t>predicted_answer</t>
  </si>
  <si>
    <t>recall_at_1</t>
  </si>
  <si>
    <t>recall_at_3</t>
  </si>
  <si>
    <t>recall_at_5</t>
  </si>
  <si>
    <t>mrr</t>
  </si>
  <si>
    <t>citation_accuracy</t>
  </si>
  <si>
    <t>answer_correctness</t>
  </si>
  <si>
    <t>is_unanswerable</t>
  </si>
  <si>
    <t>tp</t>
  </si>
  <si>
    <t>fp</t>
  </si>
  <si>
    <t>fn</t>
  </si>
  <si>
    <t>is_correct_refusal</t>
  </si>
  <si>
    <t>在论文"A Survey of Post-Training Scaling in Large Language Models"中，作者将post-training scaling分为哪三个主要方法？</t>
  </si>
  <si>
    <t>定义类</t>
  </si>
  <si>
    <t>作者将post-training scaling分为三个主要方法：Supervised Fine-tuning (SFT), Reinforcement Learning (RLxF), and Test-time Compute (TTC).</t>
  </si>
  <si>
    <t>在SafeRAG中"silver noise"的定义是什么？</t>
  </si>
  <si>
    <t>首先，我们定义了“银色噪声”，它指的是仅部分包含答案的证据文本。此类噪声能够绕过大多数安全过滤机制，从而削弱 RAG 的多样性。</t>
  </si>
  <si>
    <t>RAG噪声被分为哪两类？</t>
  </si>
  <si>
    <t>RAG噪声被分为有益噪声和有害噪声。</t>
  </si>
  <si>
    <t>什么是Ref-Long基准？它评估的是长上下文语言模型的什么能力？</t>
  </si>
  <si>
    <t>Ref-Long是一个专门设计用于评估长上下文语言模型（LCLMs）长上下文引用能力的基准。它要求LCLMs不仅要在给定文档中识别特定关键词，还要找出引用该关键词的文档索引，而不是其他相关但不匹配的文档。</t>
  </si>
  <si>
    <t xml:space="preserve"> 什么是SYNQA方法？</t>
  </si>
  <si>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</si>
  <si>
    <t>什么是Agentic Long-Context Understanding (AgenticLU)框架？</t>
  </si>
  <si>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</si>
  <si>
    <t>什么是Agentic Reasoning框架?</t>
  </si>
  <si>
    <t>Agentic Reasoning是一个通过集成外部工具使用代理来增强大型语言模型推理的框架。</t>
  </si>
  <si>
    <t>REAL-MM-RAG 基准测试旨在解决现实世界检索的四个关键属性是什么？</t>
  </si>
  <si>
    <t xml:space="preserve"> REAL-MM-RAG基准测试的四个关键属性是：(i) 多模态文档，(ii) 增强的难度，(iii) 真实的RAG查询，(iv) 准确的标注。</t>
  </si>
  <si>
    <t>ASTUTE RAG的定义是什么？有什么用?</t>
  </si>
  <si>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</si>
  <si>
    <t>L-CiteEval的定义是什么？</t>
  </si>
  <si>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</si>
  <si>
    <t xml:space="preserve"> LongBench v2基准测试包含多少个问题？上下文长度范围是多少？</t>
  </si>
  <si>
    <t>LongBench v2包含503个具有挑战性的多项选择题，上下文长度范围从8,000到200万个单词。</t>
  </si>
  <si>
    <t>RHIO框架的三个主要组成部分是什么？</t>
  </si>
  <si>
    <t>RHIO框架包含三个主要组件：1.不忠实数据增强, 2.忠实度感知调优, 3.自诱导解码</t>
  </si>
  <si>
    <t>在How to Train Long-Context Language Models中的监督微调（SFT）阶段，论文作者发现使用哪种类型的数据集能够在长上下文任务上取得最佳性能？</t>
  </si>
  <si>
    <t>方法细节类</t>
  </si>
  <si>
    <t>作者发现，仅使用标准的、短上下文的指令数据集（如 UltraChat）进行微调，就能在长上下文任务上取得最佳效果。</t>
  </si>
  <si>
    <t>在"Astute RAG"中，作者提出的knowledge consolidation过程包含哪三个主要步骤？</t>
  </si>
  <si>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</si>
  <si>
    <t>LongRefiner 在推理时如何降低在线延迟？</t>
  </si>
  <si>
    <t>将推理分为离线阶段和在线阶段。离线阶段完成文档结构化任务，在线阶段仅处理用户查询分析和自适应精炼（输入输出仅数百个 tokens），整体延迟约为标准设置的 25%。</t>
  </si>
  <si>
    <t>DRAG框架如何保护用户隐私？请描述其隐私保护机制。</t>
  </si>
  <si>
    <t>DRAG通过传输去标识化的查询和结构化知识而不是完整响应来保护用户隐私。这样可以避免传输完整的用户查询和敏感信息。</t>
  </si>
  <si>
    <t>简述 Think&amp; Cite 框架中 SG-MCTS 的工作流程及其步骤。</t>
  </si>
  <si>
    <t>SG-MCTS利用LLMs的自反思能力来推理MCTS的中间状态，以指导树扩展过程。在每次迭代中，SG-MCTS 遵循四个步骤，即选择、反思引导的扩展、评估和反向传播。</t>
  </si>
  <si>
    <t>SETR 的段落选择提示（Passage Selection Prompt）所引导的关键过程包含哪三个具体步骤？每个步骤的核心任务是什么？</t>
  </si>
  <si>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</si>
  <si>
    <t>Meta-Bench基准测试中，α参数的最优范围是多少？这个参数的作用是什么？</t>
  </si>
  <si>
    <t>α参数的最优范围在0.65到0.8之间。这个参数用于平衡工具描述和参数描述在工具检索中的权重。</t>
  </si>
  <si>
    <t>CypherBench 通过将 RDF 图转换为多个领域特定的属性图（domain-specific property graphs）来实现这一过程，并使用 Cypher 语言对其进行查询。</t>
  </si>
  <si>
    <t xml:space="preserve"> ClinRaGen框架的三阶段理由蒸馏范式是什么？</t>
  </si>
  <si>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</si>
  <si>
    <t>QAEncoder如何解决文档-查询差距问题？</t>
  </si>
  <si>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</si>
  <si>
    <t>在 HALOGEN 的文本简化任务中，如何验证模型生成的简化文本是否忠实于原文？</t>
  </si>
  <si>
    <t>先用 GPT-3.5-turbo 将简化文本分解为独立的原子事实，再用 Llama-2-70B-chat 判断每个原子事实是否被原文蕴含。</t>
  </si>
  <si>
    <t>在"CiteEval"论文中，GPT-4o和Llama-3-70B在Cited scenario和Full scenario下的表现有何差异？</t>
  </si>
  <si>
    <t>实验结果类</t>
  </si>
  <si>
    <t>在Cited scenario下，GPT-4o表现最佳，Llama-3-70B与GPT-4o-mini相当；在Full scenario下，Llama-3-70B超越GPT-4o，取得最佳性能。</t>
  </si>
  <si>
    <t>"FaithfulRAG"在FaithEval数据集上使用Mistral-7B作为backbone时的准确率是多少？相比最强基线提高了多少？</t>
  </si>
  <si>
    <t>81.7%，比最强基线(KRE的73.2%)提高了8.5%。</t>
  </si>
  <si>
    <t>RankCoT 相对于 vanilla RAG 模型的表现如何？这说明了什么？</t>
  </si>
  <si>
    <t>RankCoT 相比 vanilla RAG 模型有 2.5% 的提升，表明它在提供更有意义的细化方面有效，有助于 LLM 更好地回答问题。</t>
  </si>
  <si>
    <t>在 HALoGEN 基准测试中，表现最好的 LLM 生成事实的幻觉率范围是多少？</t>
  </si>
  <si>
    <t>实验发现，即使是表现最好的 LLM，其生成事实的幻觉率也在 3% 到 86% 之间，具体数值取决于所属领域。</t>
  </si>
  <si>
    <t xml:space="preserve"> 在LongBench v2基准测试中，人类专家在15分钟时间限制下的准确率是多少？</t>
  </si>
  <si>
    <t>人类专家在15分钟时间限制下的准确率为53.7%。</t>
  </si>
  <si>
    <t>AGENTSTAR方法在WebShop、ALFWorld和BabyAI任务上与GPT-4-Turbo相比有何优势？</t>
  </si>
  <si>
    <t>AGENTSTAR 在这三个任务上的性能全面超越了 GPT-4-Turbo。其中在 WebShop 上的提升最为显著（远超 GPT-4-Turbo 61 个百分点），在 ALFWorld 和 BabyAI 上也分别实现了大幅领先（超过 GPT-4-Turbo 20.5 和 9.87 个百分点）。</t>
  </si>
  <si>
    <t>在Humanity's Last Exam数据集上，Agentic Reasoning与DeepSeek-R1结合的性能提升是多少？与OpenAI Deep Research的差距如何变化？</t>
  </si>
  <si>
    <t>在Humanity's Last Exam数据集上，Agentic Reasoning与DeepSeek-R1结合达到了23.8%的准确率，比基础模型提升了14.4%，与专有的OpenAI Deep Research的差距缩小到仅2.8%。</t>
  </si>
  <si>
    <t>在GAIA基准测试中，Agentic Reasoning在不同级别任务上的表现如何？</t>
  </si>
  <si>
    <t>在GAIA基准测试中，Agentic Reasoning在Level 1和Level 2任务上超越了OpenAI的Deep Research，在Level 3任务上将差距缩小到2.26%。</t>
  </si>
  <si>
    <t xml:space="preserve"> 在Asclepius医学基准测试中，人类医生与Med-MLLMs的表现对比如何？</t>
  </si>
  <si>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</si>
  <si>
    <t>在LongDocURL基准测试中，GPT-4o的表现如何？其他开源模型呢？</t>
  </si>
  <si>
    <t>在LongDocURL基准测试中，只有GPT-4o达到了及格标准，得分为64.5，表明该基准对当前模型提出了重大挑战。在开源模型中，只有Qwen2-VL（得分30.6）和LLaVA-OneVision（得分22.0和25.0）超过了20分的阈值，其他参数少于13B的模型都低于这个阈值。</t>
  </si>
  <si>
    <t>RAGEval 提出的自动评估指标与人工评估的一致性如何？</t>
  </si>
  <si>
    <t>实验结果表明，RAGEval 的机器自动评估与人工评估在所有指标上均表现出高度一致性。两者之间的最终绝对差异仅为 1.67%。</t>
  </si>
  <si>
    <t>在利用大模型内部知识应对知识冲突时，《Astute RAG》与《FaithfulRAG》各自采用了什么核心机制/模块来提取或生成内部知识？</t>
  </si>
  <si>
    <t>跨论文比较类</t>
  </si>
  <si>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</si>
  <si>
    <t>"UniRAG"和"FaithfulRAG"在处理查询理解方面的核心创新分别是什么？</t>
  </si>
  <si>
    <t>UniRAG提出统一的查询理解框架，集成查询增强和查询编码两个阶段；FaithfulRAG通过自我事实挖掘和自思考模块，在事实级别识别并解决参数化知识与检索上下文之间的冲突，提高语义一致性。</t>
  </si>
  <si>
    <t>比较MEMERAG和DragonBall两个基准的异同点，它们各自关注的评估维度是什么？</t>
  </si>
  <si>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</si>
  <si>
    <t>SYNQA 和 RHIO 分别通过什么方式生成训练数据？这两种数据生成策略在提升模型归因能力上有什么不同？</t>
  </si>
  <si>
    <t>SYNQA：通过 LLM 生成式合成完全受上下文支持的 QA 对（正样本），用于微调小模型的归因能力。
RHIO：通过选择性掩码检索头，让 LLM 自身生成模拟真实错误的不忠实样本（负样本），并与忠实样本进行联合训练。</t>
  </si>
  <si>
    <t>比较LongBench v2和AGENTGYM应用场景区别。</t>
  </si>
  <si>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</si>
  <si>
    <t>Agentic Reasoning 与 AR-MCTS 分别采用什么核心机制来提升复杂推理能力？</t>
  </si>
  <si>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</si>
  <si>
    <t>MAIN‑RAG 与 RAG‑Critic 在提升 RAG 系统可靠性方面分别采用了什么核心方法？</t>
  </si>
  <si>
    <t>MAIN‑RAG 采用多智能体协作过滤机制，通过三个 LLM 智能体（Predictor、Judge、Final‑Predictor）对检索文档进行相关性评分和排序，并利用自适应阈值动态过滤噪声文档，无需训练。
RAG‑Critic 采用批评引导的智能体工作流，首先构建层次化 RAG 错误系统（3 级错误类型，含 4000+ 细粒度标签），然后训练轻量级错误批评模型进行自动错误诊断，最后通过规划智能体根据错误反馈定制并执行修正方案。</t>
  </si>
  <si>
    <t>在构建可靠的问答（QA）系统时，这QAEncoder与On Synthesizing Data for Context Attribution in Question Answering两篇论文分别侧重于优化系统工作流的哪个阶段？它们各自试图解决的核心痛点是什么？</t>
  </si>
  <si>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</si>
  <si>
    <t>这10篇论文中哪一篇提出了名为"RAG-Guard"的安全防护框架？</t>
  </si>
  <si>
    <t>不可回答类</t>
  </si>
  <si>
    <t>无法回答。</t>
  </si>
  <si>
    <t>根据已有信息，无法回答此问题。</t>
  </si>
  <si>
    <t>"ProLong"模型在训练过程中使用了哪种具体的优化器来处理长序列训练的梯度问题？</t>
  </si>
  <si>
    <t>SETR模型在训练时具体的训练时间是多少小时？</t>
  </si>
  <si>
    <t xml:space="preserve"> L-CiteEval基准中使用的NLI模型deberta-base-long-nli的准确率是多少？该模型在哪些具体数据集上进行了训练？</t>
  </si>
  <si>
    <t>论文中是否提到了SYNQA方法在医疗领域的具体应用案例？</t>
  </si>
  <si>
    <t>论文中是否提供了RHIO方法在实时应用场景中的延迟测试数据？</t>
  </si>
  <si>
    <t>Agentic Reasoning框架中使用的Mind-Map agent的具体神经网络架构是什么？</t>
  </si>
  <si>
    <t>在CypherBench基准测试中，每个问题模板具体包含多少个训练样本？</t>
  </si>
  <si>
    <t>【总体平均值】</t>
  </si>
  <si>
    <t>【定义类平均值】</t>
  </si>
  <si>
    <t>【方法细节类平均值】</t>
  </si>
  <si>
    <t>【实验结果类平均值】</t>
  </si>
  <si>
    <t>【跨论文比较类平均值】</t>
  </si>
  <si>
    <t>【不可回答类平均值】</t>
  </si>
  <si>
    <t>作者将post-training scaling分为三个主要方法：监督微调（Supervised Fine-tuning, SFT）、强化学习（Reinforcement Learning, RL）和测试时计算（Test-time Compute, TTC）。
来自: [A Survey of Post-Training Scaling in Large Language Models, 第2页, A Survey of Post-Training Scaling in Large Language Models_chunk_008]</t>
  </si>
  <si>
    <t>Silver noise 是指部分包含答案的证据。
来自: [SafeRAG: Benchmarking Security in Retrieval-Augmented Generation of Large Language Model, 第2页, SafeRAG: Benchmarking Security in Retrieval-Augmented Generation of Large Language Model_chunk_007]</t>
  </si>
  <si>
    <t>RAG噪声被分为有益噪声（beneficial noise）和有害噪声（harmful noise）两类。
来自: [Pandora’s Box or Aladdin’s Lamp: A Comprehensive Analysis Revealing the Role of RAG Noise in Large Language Models, 第2页, Pandora’s Box or Aladdin’s Lamp: A Comprehensive Analysis Revealing the Role of RAG Noise in Large Language Models_chunk_006]</t>
  </si>
  <si>
    <t>Ref-Long是一个评估长上下文语言模型的长上下文引用能力的新基准，它要求模型识别出引用特定键的文档索引，强调键与文档之间的上下文关系而非简单检索。
来自: [Ref-Long: Benchmarking the Long-context Referencing Capability of Long-context Language Models, 第1页, Ref-Long: Benchmarking the Long-context Referencing Capability of Long-context Language Models_chunk_001]</t>
  </si>
  <si>
    <t>SYNQA是一种合成数据生成方法，由上下文选择、问答生成和干扰项挖掘三部分组成，旨在为问答中的上下文归因任务生成训练数据。
来自: [On Synthesizing Data for Context Attribution in Question Answering, 第2页, On Synthesizing Data for Context Attribution in Question Answering_chunk_010] [On Synthesizing Data for Context Attribution in Question Answering, 第3页, On Synthesizing Data for Context Attribution in Question Answering_chunk_012]</t>
  </si>
  <si>
    <t>根据已有信息，无法回答关于RHIO的问题，因为提供的论文片段中完全没有提及RHIO。
关于SYNQA，其数据生成方式的核心是：通过从特定的上下文句子中推导出问题，从而确保生成的问题具有清晰的归因路径。这种策略在提升模型归因能力上的特点是，它帮助模型发展出稳健的归因能力，并能泛化到不同的上下文和领域，使得基于该方法训练的小模型在域外数据集上表现出竞争力。
来自: [On Synthesizing Data for Context Attribution in Question Answering, 第3页, On Synthesizing Data for Context Attribution in Question Answering_chunk_012]
来自: [On Synthesizing Data for Context Attribution in Question Answering, 第6页, On Synthesizing Data for Context Attribution in Question Answering_chunk_035]</t>
  </si>
  <si>
    <t>AgenticLU是一个旨在通过集成自我澄清与上下文 grounding 的 agentic 工作流来增强大语言模型长上下文理解的框架。
来自: [Self-Taught Agentic Long-Context Understanding, 第1页, Self-Taught Agentic Long-Context Understanding_chunk_001]</t>
  </si>
  <si>
    <t>Agentic Reasoning是一个通过将外部基于LLM的智能体作为工具集成到推理过程中来增强推理能力的框架。
来自: [Agentic Reasoning: A Streamlined Framework for Enhancing LLM Reasoning with Agentic Tools, 第2页, Agentic Reasoning: A Streamlined Framework for Enhancing LLM Reasoning with Agentic Tools_chunk_008]</t>
  </si>
  <si>
    <t>Agentic Reasoning结合DeepSeek-R1在Humanity's Last Exam上达到23.8%的准确率，相比基础模型提升了14.4%；与OpenAI Deep Research的差距缩小至仅2.8%。
来自: [Agentic Reasoning: A Streamlined Framework for Enhancing LLM Reasoning with Agentic Tools, 第1页, Agentic Reasoning: A Streamlined Framework for Enhancing LLM Reasoning with Agentic Tools_chunk_004]</t>
  </si>
  <si>
    <t>在GAIA基准测试中，Agentic Reasoning在Level 1上达到74.36%，Level 2上达到69.21%，Level 3上达到45.46%，平均准确率为66.13%。这一成绩在所有公开方法中建立了新的最优水平，并在Level 1和Level 2任务上超越了OpenAI的Deep Research，在Level 3上也将差距缩小至2.26%。
来自: [Agentic Reasoning: A Streamlined Framework for Enhancing LLM Reasoning with Agentic Tools, 第5页, Agentic Reasoning: A Streamlined Framework for Enhancing LLM Reasoning with Agentic Tools_chunk_022]
来自: [Agentic Reasoning: A Streamlined Framework for Enhancing LLM Reasoning with Agentic Tools, 第5页, Agentic Reasoning: A Streamlined Framework for Enhancing LLM Reasoning with Agentic Tools_chunk_023]</t>
  </si>
  <si>
    <t>REAL-MM-RAG 基准测试旨在解决的四个关键属性是：(i) 多模态文档（包含文本、图表、表格等视觉元素）；(ii) 增强难度（查询需要超越简单关键词匹配，且语料库包含上下文相似的页面）；(iii) 真实 RAG 查询（问题以自然方式提出，不显式引用页面）；(iv) 准确标注（所有相关文档被正确且穷尽地标注，避免低估检索性能）。
来自: [REAL-MM-RAG:AReal-World Multi-Modal Retrieval Benchmark, 第1页, REAL-MM-RAG:AReal-World Multi-Modal Retrieval Benchmark_chunk_003]</t>
  </si>
  <si>
    <t>ASTUTE RAG 是一种检索增强生成方法，旨在更好地整合大语言模型内部知识与外部语料库中的集体知识，从而生成更可靠的回答。它主要用于克服不完美的检索增强和知识冲突问题，提升回答的准确性和鲁棒性。
来自: [ASTUTE RAG: Overcoming Imperfect Retrieval Augmentation and Knowledge Conflicts for Large Language Models, 第5页, ASTUTE RAG: Overcoming Imperfect Retrieval Augmentation and Knowledge Conflicts for Large Language Models_chunk_019]  
来自: [ASTUTE RAG: Overcoming Imperfect Retrieval Augmentation and Knowledge Conflicts for Large Language Models, 第7页, ASTUTE RAG: Overcoming Imperfect Retrieval Augmentation and Knowledge Conflicts for Large Language Models_chunk_036]</t>
  </si>
  <si>
    <t>在Astute RAG中，知识整合（knowledge consolidation）过程包含三个主要步骤：合并一致信息、识别冲突信息、过滤无关信息。
来自: [ASTUTE RAG: Overcoming Imperfect Retrieval Augmentation and Knowledge Conflicts for Large Language Models, 第2页, ASTUTE RAG: Overcoming Imperfect Retrieval Augmentation and Knowledge Conflicts for Large Language Models_chunk_007] [ASTUTE RAG: Overcoming Imperfect Retrieval Augmentation and Knowledge Conflicts for Large Language Models, 第16页, ASTUTE RAG: Overcoming Imperfect Retrieval Augmentation and Knowledge Conflicts for Large Language Models_chunk_046]</t>
  </si>
  <si>
    <t>L-CiteEval是一个开箱即用的评估套件，包含一个多任务长上下文基准测试和相应的评估流程。
来自: [L-CiteEval: A Suite for Evaluating Fidelity of Long-context Models, 第8页, L-CiteEval: A Suite for Evaluating Fidelity of Long-context Models_chunk_056]</t>
  </si>
  <si>
    <t>LongBench v2 包含 503 个问题，上下文长度范围为 8k 到 2M 词。
来自: [LongBench v2: Towards Deeper Understanding and Reasoning on Realistic Long-context Multitasks, 第1页, LongBench v2: Towards Deeper Understanding and Reasoning on Realistic Long-context Multitasks_chunk_004]</t>
  </si>
  <si>
    <t>在15分钟时间限制下，人类专家的准确率为53.7%。
来自: [LongBench v2: Towards Deeper Understanding and Reasoning on Realistic Long-context Multitasks, 第1页, LongBench v2: Towards Deeper Understanding and Reasoning on Realistic Long-context Multitasks_chunk_001]</t>
  </si>
  <si>
    <t>RHIO框架的三个主要组成部分是：不忠实数据增强（unfaithful data augmentation）、忠实性感知调优（faithfulness-aware tuning）和自诱导解码（self-induced decoding）。
来自: [Improving Contextual Faithfulness of Large Language Models via Retrieval Heads-Induced Optimization, 第15页, Improving Contextual Faithfulness of Large Language Models via Retrieval Heads-Induced Optimization_chunk_065]</t>
  </si>
  <si>
    <t>论文作者发现，在监督微调阶段使用标准的短上下文指令数据集（standard, short-context instruction datasets）就足以在长上下文任务上取得最佳性能，而长合成指令数据并不能进一步提升性能。
来自: [How to Train Long-Context Language Models (Effectively), 第2页, How to Train Long-Context Language Models (Effectively)_chunk_006]</t>
  </si>
  <si>
    <t>LongRefiner 通过将推理过程拆分为离线和在线两个阶段来降低在线延迟：离线阶段预先对语料库中的文档进行层次化结构处理，在线阶段仅需执行查询分析和自适应精炼，由于在线阶段只处理数百个输入 token 并生成数十个输出 token，整体延迟仅为标准设置的约 25%。
来自: [Hierarchical Document Refinement for Long-context Retrieval-augmented Generation, 第6页, Hierarchical Document Refinement for Long-context Retrieval-augmented Generation_chunk_030]</t>
  </si>
  <si>
    <t>DRAG框架通过让本地模型在发送查询到云端之前重新表述查询，剥离敏感信息，然后云端模型检索证据和知识图谱，返回给本地模型进行最终处理，从而确保敏感数据不离开本地，保护用户隐私。
来自: [DRAG: Distilling RAG for SLMs from LLMs to Transfer Knowledge and Mitigate Hallucination via Evidence and Graph-based Distillation, 第1页, DRAG: Distilling RAG for SLMs from LLMs to Transfer Knowledge and Mitigate Hallucination via Evidence and Graph-based Distillation_chunk_004]
来自: [DRAG: Distilling RAG for SLMs from LLMs to Transfer Knowledge and Mitigate Hallucination via Evidence and Graph-based Distillation, 第5页, DRAG: Distilling RAG for SLMs from LLMs to Transfer Knowledge and Mitigate Hallucination via Evidence and Graph-based Distillation_chunk_025]</t>
  </si>
  <si>
    <t>Think&amp;Cite 框架中的 SG-MCTS 是一种将蒙特卡洛树搜索与 LLM 自我反思相结合的多步推理生成方法。在每次迭代中，它依次执行四个步骤：**选择**（selection）、**反思引导的扩展**（reflection-guided expansion）、**评估**（evaluation）和**反向传播**（backpropagation）。其中，反思引导的扩展利用 LLM 对中间状态进行实时反思，以纠正错误查询并引导树扩展；评估阶段则通过 Progress Reward Modeling 从生成进度和归因进度两方面提供反馈。
来自: [Think&amp;Cite: Improving Attributed Text Generation with Self-Guided Tree Search and Progress Reward Modeling, 第3页, Think&amp;Cite: Improving Attributed Text Generation with Self-Guided Tree Search and Progress Reward Modeling_chunk_014]  
来自: [Think&amp;Cite: Improving Attributed Text Generation with Self-Guided Tree Search and Progress Reward Modeling, 第1页, Think&amp;Cite: Improving Attributed Text Generation with Self-Guided Tree Search and Progress Reward Modeling_chunk_003]  
来自: [Think&amp;Cite: Improving Attributed Text Generation with Self-Guided Tree Search and Progress Reward Modeling, 第8页, Think&amp;Cite: Improving Attributed Text Generation with Self-Guided Tree Search and Progress Reward Modeling_chunk_044]</t>
  </si>
  <si>
    <t>SETR 的段落选择提示引导三个关键步骤：第一步，枚举回答查询所需的关键信息需求；第二步，为每个需求识别包含相关信息的段落；第三步，选择一个段落子集，这些段落共同提供最全面和多样化的覆盖以有效回答查询。
来自: [Shifting from Ranking to Set Selection for Retrieval Augmented Generation, 第4页, Shifting from Ranking to Set Selection for Retrieval Augmented Generation_chunk_015]</t>
  </si>
  <si>
    <t>在Meta-Bench基准测试中，α参数的最优范围是0.65到0.8。该参数的作用是平衡工具描述和参数描述在工具检索中的权重，从而影响检索性能。
来自: [Meta-Tool: Unleash Open-World Function Calling Capabilities of General-Purpose Large Language Models, 第20页, Meta-Tool: Unleash Open-World Function Calling Capabilities of General-Purpose Large Language Models_chunk_071]</t>
  </si>
  <si>
    <t>CypherBench 通过执行 SPARQL 查询并聚合结果（而非处理整个 RDF 转储）将 RDF 图转换为多个领域特定的属性图；转换层负责数据类型转换和单位标准化，生成模式强制、严格类型化的数据，每个属性图视图包含符合其领域模式的所有实体和关系。
来自: [CYPHERBENCH: Towards Precise Retrieval over Full-scale Modern Knowledge Graphs in the LLM Era, 第4页, CYPHERBENCH: Towards Precise Retrieval over Full-scale Modern Knowledge Graphs in the LLM Era_chunk_016]</t>
  </si>
  <si>
    <t>ClinRaGen的三阶段理由蒸馏范式依次为：第一阶段蒸馏基于医疗笔记的理由，让SLM建立对文本临床信息的基础理解；第二阶段引入知识增强注意力，对齐数值实验室测试与结构化医学知识以蒸馏基于实验室测试的理由；最终阶段完全整合文本与数值输入，生成临床连贯的多模态理由。
来自: [Knowledge-Augmented Multimodal Clinical Rationale Generation for Disease Diagnosis with Small Language Models, 第4页, Knowledge-Augmented Multimodal Clinical Rationale Generation for Disease Diagnosis with Small Language Models_chunk_016]</t>
  </si>
  <si>
    <t>QAEncoder从查询中心视角出发，通过为每个文档生成多样化的查询集来创建语义对齐的嵌入，并用查询嵌入的期望替代文档嵌入，从而弥合文档-查询差距；同时采用文档指纹策略确保文档可区分性。
来自: [QAEncoder: Towards Aligned Representation Learning in Question Answering Systems, 第5页, QAEncoder: Towards Aligned Representation Learning in Question Answering Systems_chunk_019]
来自: [QAEncoder: Towards Aligned Representation Learning in Question Answering Systems, 第9页, QAEncoder: Towards Aligned Representation Learning in Question Answering Systems_chunk_060]</t>
  </si>
  <si>
    <t>QAEncoder侧重于优化QA系统的**检索阶段**，其核心痛点是文档与查询之间的语义差距（document-query gap），即传统稠密检索器难以准确匹配多样化的用户查询与相关文档。  
On Synthesizing Data for Context Attribution in Question Answering则侧重于优化QA系统的**生成后归因阶段**，其核心痛点是获取高质量上下文归因数据依赖昂贵的人工标注，从而限制了模型的可解释性与可靠性。
来自: [QAEncoder: Towards Aligned Representation Learning in Question Answering Systems, 第2页, QAEncoder: Towards Aligned Representation Learning in Question Answering Systems_chunk_007]  
来自: [On Synthesizing Data for Context Attribution in Question Answering, 第9页, On Synthesizing Data for Context Attribution in Question Answering_chunk_052]</t>
  </si>
  <si>
    <t>在文本简化任务中，HALOGEN 采用与摘要任务相同的验证流程：先用 GPT-3.5 将生成的简化文本分解为独立的原子事实，再用 Llama-2-70B 判断每个原子事实是否被原文蕴含（即进行蕴含决策）。
来自: [HALOGEN :FantasticLLMHallucinations and Where to Find Them, 第3页, HALOGEN :FantasticLLMHallucinations and Where to Find Them_chunk_017]</t>
  </si>
  <si>
    <t>在 HALoGEN 基准测试中，表现最好的 LLM（如 GPT-4）生成事实的幻觉率范围是 3% 到 86%，具体取决于任务领域。
来自: [HALOGEN :FantasticLLMHallucinations and Where to Find Them, 第1页, HALOGEN :FantasticLLMHallucinations and Where to Find Them_chunk_004]</t>
  </si>
  <si>
    <t>在Cited scenario下，GPT-4o是表现最好的模型，而Llama-3-70B仅与GPT-4o-mini持平；但在Full scenario下，Llama-3-70B反超GPT-4o并取得最佳性能。这一差异与GPT-4o倾向于生成更长的回复有关，更长的回复更容易遗漏引用，从而在Full scenario中拉低了评分。
来自: [CiteEval: Principle-Driven Citation Evaluation for Source Attribution, 第8页, CiteEval: Principle-Driven Citation Evaluation for Source Attribution_chunk_041] [CiteEval: Principle-Driven Citation Evaluation for Source Attribution, 第8页, CiteEval: Principle-Driven Citation Evaluation for Source Attribution_chunk_042]</t>
  </si>
  <si>
    <t>FaithfulRAG 在 FaithEval 数据集上使用 Mistral-7B 作为 backbone 时准确率为 81.7%，相比最强基线（KRE 的 73.2%）提高了 8.5%。
来自: [FaithfulRAG: Fact-Level Conflict Modeling for Context-Faithful Retrieval-Augmented Generation, 第7页, FaithfulRAG: Fact-Level Conflict Modeling for Context-Faithful Retrieval-Augmented Generation_chunk_037]</t>
  </si>
  <si>
    <t>《Astute RAG》通过“自适应内部知识生成”（adaptive generation of internal knowledge）机制来提取大模型内部知识；《FaithfulRAG》则采用“Self-Fact Mining”模块，将模型的参数化知识具体化为事实级知识。
来自: [ASTUTE RAG: Overcoming Imperfect Retrieval Augmentation and Knowledge Conflicts for Large Language Models, 第4页, ASTUTE RAG: Overcoming Imperfect Retrieval Augmentation and Knowledge Conflicts for Large Language Models_chunk_016] 和 [FaithfulRAG: Fact-Level Conflict Modeling for Context-Faithful Retrieval-Augmented Generation, 第7页, FaithfulRAG: Fact-Level Conflict Modeling for Context-Faithful Retrieval-Augmented Generation_chunk_041]</t>
  </si>
  <si>
    <t>RankCoT 相比 vanilla RAG 模型平均准确率提升了 2.5%，这表明 RankCoT 能够提供更有意义的精炼信息，从而帮助大语言模型更好地回答问题。
来自: [RankCoT: Refining Knowledge for Retrieval-Augmented Generation through Ranking Chain-of-Thoughts, 第6页, RankCoT: Refining Knowledge for Retrieval-Augmented Generation through Ranking Chain-of-Thoughts_chunk_036]</t>
  </si>
  <si>
    <t>AGENTSTAR在WebShop、ALFWorld和BabyAI任务上分别比GPT-4-Turbo高出61.00、20.50和9.87分。
来自: [AGENTGYM: Evaluating and Training Large Language Model-based Agents across Diverse Environments, 第7页, AGENTGYM: Evaluating and Training Large Language Model-based Agents across Diverse Environments_chunk_045]</t>
  </si>
  <si>
    <t>LongBench v2 是一个用于评估大语言模型在长上下文场景下深度理解与推理能力的基准测试，覆盖单文档问答、多文档问答、长上下文学习、长对话历史理解、代码仓库理解、长结构化数据理解等多种真实任务。AGENTGYM 则是一个支持多环境交互探索与学习的 LLM 代理训练与评估框架，旨在构建通用能力更强的智能体。
来自: [LongBench v2: Towards Deeper Understanding and Reasoning on Realistic Long-context Multitasks, 第1页, LongBench v2: Towards Deeper Understanding and Reasoning on Realistic Long-context Multitasks_chunk_001]  
来自: [LongBench v2: Towards Deeper Understanding and Reasoning on Realistic Long-context Multitasks, 第1页, LongBench v2: Towards Deeper Understanding and Reasoning on Realistic Long-context Multitasks_chunk_004]  
来自: [AGENTGYM: Evaluating and Training Large Language Model-based Agents across Diverse Environments, 第1页, AGENTGYM: Evaluating and Training Large Language Model-based Agents across Diverse Environments_chunk_004]</t>
  </si>
  <si>
    <t>在Asclepius基准测试中，人类医生的整体诊断准确率优于所有Med-MLLMs。人类医生的平均准确率在0.538至0.641之间，其中由多位专科医生集成的Meta-Doctor平均准确率最高。即使是平均准确率为57.4%的初级医生，也略高于表现最好的Med-MLLM GPT-4V（54.3%）。GPT-4V的表现最接近人类医生，且在所有模型中最为稳健，Gemini次之。这表明当前Med-MLLMs与人类专家之间仍存在差距，但GPT-4V等模型已展现出辅助诊断的潜力。
来自: [Asclepius: A Spectrum Evaluation Benchmark for Medical Multi-Modal Large Language Models, 第15页, Asclepius: A Spectrum Evaluation Benchmark for Medical Multi-Modal Large Language Models_chunk_048] [Asclepius: A Spectrum Evaluation Benchmark for Medical Multi-Modal Large Language Models, 第7页, Asclepius: A Spectrum Evaluation Benchmark for Medical Multi-Modal Large Language Models_chunk_032]</t>
  </si>
  <si>
    <t>在LongDocURL基准测试中，GPT-4o取得了64.5的最高分，是唯一达到及格标准的模型。开源模型表现明显落后，其中Qwen2-VL得分30.6，LLaVA-OneVision得分22.0和25.0，其余开源模型得分均低于20。
来自: [LongDocURL: a Comprehensive Multimodal Long Document Benchmark Integrating Understanding, Reasoning, and Locating, 第2页, LongDocURL: a Comprehensive Multimodal Long Document Benchmark Integrating Understanding, Reasoning, and Locating_chunk_007] 和 [LongDocURL: a Comprehensive Multimodal Long Document Benchmark Integrating Understanding, Reasoning, and Locating, 第6页, LongDocURL: a Comprehensive Multimodal Long Document Benchmark Integrating Understanding, Reasoning, and Locating_chunk_026]</t>
  </si>
  <si>
    <t>RAGEval 使用 LLM 对其提出的指标（Completeness、Hallucination、Irrelevance）进行评分，结果显示与人工评估具有高度一致性。
来自: [RAGEval: Scenario Specific RAG Evaluation Dataset Generation Framework, 第1页, RAGEval: Scenario Specific RAG Evaluation Dataset Generation Framework_chunk_001]</t>
  </si>
  <si>
    <t>UniRAG的核心创新在于构建了一个统一的查询理解框架，将查询增强与编码集成到单一模型中，通过自适应选择增强策略和对比学习来提升检索性能。FaithfulRAG的核心创新则体现在通过Self-Fact Mining提取查询相关的自我事实，并以此为基础进行上下文知识对齐与自我思考，从而在事实层面处理矛盾，确保生成内容的忠实性。
来自: [UniRAG: Unified Query Understanding Method for Retrieval Augmented Generation, 第9页, UniRAG: Unified Query Understanding Method for Retrieval Augmented Generation_chunk_042]
来自: [FaithfulRAG: Fact-Level Conflict Modeling for Context-Faithful Retrieval-Augmented Generation, 第4页, FaithfulRAG: Fact-Level Conflict Modeling for Context-Faithful Retrieval-Augmented Generation_chunk_015]</t>
  </si>
  <si>
    <t>MEMERAG和DragonBall都是面向RAG系统的评估基准。相同点在于两者均构建了包含问题、上下文和答案的数据集，用于衡量RAG输出质量。不同点主要体现在：MEMERAG是多语言基准（涵盖英、德、西、法、印地语），规模为1250个问题，在句子级别进行标注；DragonBall则聚焦金融、法律、医疗三个领域，包含中英文，规模更大（6711个问题）。在评估维度上，MEMERAG明确关注**忠实性**（答案是否基于上下文）和**相关性**（答案是否与问题相关）两个维度；而DragonBall的评估维度在提供的片段中未明确说明，仅提及通过关键点提取来支持评估，具体维度信息有限。
来自: [MEMERAG:AMultilingual End-to-End Meta-Evaluation Benchmark for Retrieval Augmented Generation, 第3页, MEMERAG:AMultilingual End-to-End Meta-Evaluation Benchmark for Retrieval Augmented Generation_chunk_015]；[MEMERAG:AMultilingual End-to-End Meta-Evaluation Benchmark for Retrieval Augmented Generation, 第5页, MEMERAG:AMultilingual End-to-End Meta-Evaluation Benchmark for Retrieval Augmented Generation_chunk_025]；[RAGEval: Scenario Specific RAG Evaluation Dataset Generation Framework, 第4页, RAGEval: Scenario Specific RAG Evaluation Dataset Generation Framework_chunk_018]</t>
  </si>
  <si>
    <t>Agentic Reasoning 通过集成外部代理（如网络搜索、代码执行和思维导图）来增强推理能力；AR-MCTS 则通过主动检索（AR）和蒙特卡洛树搜索（MCTS）来逐步提升推理能力。
来自: [Agentic Reasoning: A Streamlined Framework for Enhancing LLM Reasoning with Agentic Tools, 第2页, Agentic Reasoning: A Streamlined Framework for Enhancing LLM Reasoning with Agentic Tools_chunk_008] 和 [Progressive Multimodal Reasoning via Active Retrieval, 第1页, Progressive Multimodal Reasoning via Active Retrieval_chunk_000]</t>
  </si>
  <si>
    <t>MAIN‑RAG 采用无需训练的多智能体协作过滤方法，通过多个 LLM 代理对检索文档进行评分与筛选，以共识机制动态保留高质量文档，从而减少噪声、提升可靠性。  
RAG‑Critic 则构建分层错误分类体系，并训练一个错误批评模型，利用批评反馈驱动代理式 RAG 工作流，针对识别出的错误定制修正方案，以此增强系统的可靠性和纠错能力。
来自: [MAIN-RAG: Multi-Agent Filtering Retrieval-Augmented Generation, 第1页, MAIN-RAG: Multi-Agent Filtering Retrieval-Augmented Generation_chunk_006]  
来自: [RAG-Critic: Leveraging Automated Critic-Guided Agentic Workflow for Retrieval Augmented Generation, 第2页, RAG-Critic: Leveraging Automated Critic-Guided Agentic Workflow for Retrieval Augmented Generation_chunk_005]</t>
  </si>
  <si>
    <t>CypherBench 提出了什么核心方法来应对 RDF 查询的挑战？</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</si>
</sst>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3" borderId="0" xfId="0" applyFill="1"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8"/>
  <sheetViews>
    <sheetView tabSelected="1" topLeftCell="A21" workbookViewId="0">
      <selection activeCell="P21" sqref="P21"/>
    </sheetView>
  </sheetViews>
  <sheetFormatPr defaultRowHeight="14" x14ac:dyDescent="0.25"/>
  <cols>
    <col min="1" max="1" width="19.90625" style="2" customWidth="1"/>
    <col min="2" max="2" width="9.90625" style="2" customWidth="1"/>
    <col min="3" max="4" width="19.90625" style="2" customWidth="1"/>
    <col min="5" max="8" width="8.7265625" style="2"/>
    <col min="9" max="9" width="8.7265625" style="4"/>
    <col min="10" max="16384" width="8.7265625" style="2"/>
  </cols>
  <sheetData>
    <row r="1" spans="1:15" ht="42" x14ac:dyDescent="0.25">
      <c r="A1" s="1" t="s">
        <v>0</v>
      </c>
      <c r="B1" s="1" t="s">
        <v>1</v>
      </c>
      <c r="C1" s="1" t="s">
        <v>2</v>
      </c>
      <c r="D1" s="1" t="s">
        <v>3</v>
      </c>
      <c r="E1" s="1" t="s">
        <v>4</v>
      </c>
      <c r="F1" s="1" t="s">
        <v>5</v>
      </c>
      <c r="G1" s="1" t="s">
        <v>6</v>
      </c>
      <c r="H1" s="1" t="s">
        <v>7</v>
      </c>
      <c r="I1" s="3" t="s">
        <v>8</v>
      </c>
      <c r="J1" s="1" t="s">
        <v>9</v>
      </c>
      <c r="K1" s="1" t="s">
        <v>10</v>
      </c>
      <c r="L1" s="1" t="s">
        <v>11</v>
      </c>
      <c r="M1" s="1" t="s">
        <v>12</v>
      </c>
      <c r="N1" s="1" t="s">
        <v>13</v>
      </c>
      <c r="O1" s="1" t="s">
        <v>14</v>
      </c>
    </row>
    <row r="2" spans="1:15" ht="252" x14ac:dyDescent="0.25">
      <c r="A2" s="2" t="s">
        <v>15</v>
      </c>
      <c r="B2" s="2" t="s">
        <v>16</v>
      </c>
      <c r="C2" s="2" t="s">
        <v>17</v>
      </c>
      <c r="D2" s="2" t="s">
        <v>119</v>
      </c>
      <c r="E2" s="2">
        <v>1</v>
      </c>
      <c r="F2" s="2">
        <v>1</v>
      </c>
      <c r="G2" s="2">
        <v>1</v>
      </c>
      <c r="H2" s="2">
        <v>1</v>
      </c>
      <c r="I2" s="4">
        <v>1</v>
      </c>
      <c r="J2" s="2">
        <v>1</v>
      </c>
      <c r="K2" s="2" t="b">
        <v>0</v>
      </c>
      <c r="L2" s="2">
        <v>3</v>
      </c>
      <c r="M2" s="2">
        <v>0</v>
      </c>
      <c r="N2" s="2">
        <v>0</v>
      </c>
    </row>
    <row r="3" spans="1:15" ht="210" x14ac:dyDescent="0.25">
      <c r="A3" s="2" t="s">
        <v>18</v>
      </c>
      <c r="B3" s="2" t="s">
        <v>16</v>
      </c>
      <c r="C3" s="2" t="s">
        <v>19</v>
      </c>
      <c r="D3" s="2" t="s">
        <v>120</v>
      </c>
      <c r="E3" s="2">
        <v>0</v>
      </c>
      <c r="F3" s="2">
        <v>1</v>
      </c>
      <c r="G3" s="2">
        <v>1</v>
      </c>
      <c r="H3" s="2">
        <v>0.33333333333333331</v>
      </c>
      <c r="I3" s="4">
        <v>1</v>
      </c>
      <c r="J3" s="2">
        <v>1</v>
      </c>
      <c r="K3" s="2" t="b">
        <v>0</v>
      </c>
      <c r="L3" s="2">
        <v>1</v>
      </c>
      <c r="M3" s="2">
        <v>0</v>
      </c>
      <c r="N3" s="2">
        <v>0</v>
      </c>
    </row>
    <row r="4" spans="1:15" ht="294" x14ac:dyDescent="0.25">
      <c r="A4" s="2" t="s">
        <v>20</v>
      </c>
      <c r="B4" s="2" t="s">
        <v>16</v>
      </c>
      <c r="C4" s="2" t="s">
        <v>21</v>
      </c>
      <c r="D4" s="2" t="s">
        <v>121</v>
      </c>
      <c r="E4" s="2">
        <v>1</v>
      </c>
      <c r="F4" s="2">
        <v>1</v>
      </c>
      <c r="G4" s="2">
        <v>1</v>
      </c>
      <c r="H4" s="2">
        <v>1</v>
      </c>
      <c r="I4" s="4">
        <v>1</v>
      </c>
      <c r="J4" s="2">
        <v>1</v>
      </c>
      <c r="K4" s="2" t="b">
        <v>0</v>
      </c>
      <c r="L4" s="2">
        <v>1</v>
      </c>
      <c r="M4" s="2">
        <v>0</v>
      </c>
      <c r="N4" s="2">
        <v>0</v>
      </c>
    </row>
    <row r="5" spans="1:15" ht="294" x14ac:dyDescent="0.25">
      <c r="A5" s="2" t="s">
        <v>22</v>
      </c>
      <c r="B5" s="2" t="s">
        <v>16</v>
      </c>
      <c r="C5" s="2" t="s">
        <v>23</v>
      </c>
      <c r="D5" s="2" t="s">
        <v>122</v>
      </c>
      <c r="E5" s="2">
        <v>1</v>
      </c>
      <c r="F5" s="2">
        <v>1</v>
      </c>
      <c r="G5" s="2">
        <v>1</v>
      </c>
      <c r="H5" s="2">
        <v>1</v>
      </c>
      <c r="I5" s="4">
        <v>1</v>
      </c>
      <c r="J5" s="2">
        <v>0.8</v>
      </c>
      <c r="K5" s="2" t="b">
        <v>0</v>
      </c>
      <c r="L5" s="2">
        <v>2</v>
      </c>
      <c r="M5" s="2">
        <v>0</v>
      </c>
      <c r="N5" s="2">
        <v>1</v>
      </c>
    </row>
    <row r="6" spans="1:15" ht="406" x14ac:dyDescent="0.25">
      <c r="A6" s="2" t="s">
        <v>24</v>
      </c>
      <c r="B6" s="2" t="s">
        <v>16</v>
      </c>
      <c r="C6" s="2" t="s">
        <v>25</v>
      </c>
      <c r="D6" s="2" t="s">
        <v>123</v>
      </c>
      <c r="E6" s="2">
        <v>0</v>
      </c>
      <c r="F6" s="2">
        <v>1</v>
      </c>
      <c r="G6" s="2">
        <v>1</v>
      </c>
      <c r="H6" s="2">
        <v>0.33333333333333331</v>
      </c>
      <c r="I6" s="4">
        <v>1</v>
      </c>
      <c r="J6" s="2">
        <v>0.66700000000000004</v>
      </c>
      <c r="K6" s="2" t="b">
        <v>0</v>
      </c>
      <c r="L6" s="2">
        <v>2</v>
      </c>
      <c r="M6" s="2">
        <v>0</v>
      </c>
      <c r="N6" s="2">
        <v>2</v>
      </c>
    </row>
    <row r="7" spans="1:15" ht="252" x14ac:dyDescent="0.25">
      <c r="A7" s="2" t="s">
        <v>26</v>
      </c>
      <c r="B7" s="2" t="s">
        <v>16</v>
      </c>
      <c r="C7" s="2" t="s">
        <v>27</v>
      </c>
      <c r="D7" s="2" t="s">
        <v>125</v>
      </c>
      <c r="E7" s="2">
        <v>1</v>
      </c>
      <c r="F7" s="2">
        <v>1</v>
      </c>
      <c r="G7" s="2">
        <v>1</v>
      </c>
      <c r="H7" s="2">
        <v>1</v>
      </c>
      <c r="I7" s="4">
        <v>1</v>
      </c>
      <c r="J7" s="2">
        <v>0.8</v>
      </c>
      <c r="K7" s="2" t="b">
        <v>0</v>
      </c>
      <c r="L7" s="2">
        <v>2</v>
      </c>
      <c r="M7" s="2">
        <v>0</v>
      </c>
      <c r="N7" s="2">
        <v>1</v>
      </c>
    </row>
    <row r="8" spans="1:15" ht="294" x14ac:dyDescent="0.25">
      <c r="A8" s="2" t="s">
        <v>28</v>
      </c>
      <c r="B8" s="2" t="s">
        <v>16</v>
      </c>
      <c r="C8" s="2" t="s">
        <v>29</v>
      </c>
      <c r="D8" s="2" t="s">
        <v>126</v>
      </c>
      <c r="E8" s="2">
        <v>1</v>
      </c>
      <c r="F8" s="2">
        <v>1</v>
      </c>
      <c r="G8" s="2">
        <v>1</v>
      </c>
      <c r="H8" s="2">
        <v>1</v>
      </c>
      <c r="I8" s="4">
        <v>1</v>
      </c>
      <c r="J8" s="2">
        <v>1</v>
      </c>
      <c r="K8" s="2" t="b">
        <v>0</v>
      </c>
      <c r="L8" s="2">
        <v>1</v>
      </c>
      <c r="M8" s="2">
        <v>0</v>
      </c>
      <c r="N8" s="2">
        <v>0</v>
      </c>
    </row>
    <row r="9" spans="1:15" ht="378" x14ac:dyDescent="0.25">
      <c r="A9" s="2" t="s">
        <v>30</v>
      </c>
      <c r="B9" s="2" t="s">
        <v>16</v>
      </c>
      <c r="C9" s="2" t="s">
        <v>31</v>
      </c>
      <c r="D9" s="2" t="s">
        <v>129</v>
      </c>
      <c r="E9" s="2">
        <v>1</v>
      </c>
      <c r="F9" s="2">
        <v>1</v>
      </c>
      <c r="G9" s="2">
        <v>1</v>
      </c>
      <c r="H9" s="2">
        <v>1</v>
      </c>
      <c r="I9" s="4">
        <v>1</v>
      </c>
      <c r="J9" s="2">
        <v>1</v>
      </c>
      <c r="K9" s="2" t="b">
        <v>0</v>
      </c>
      <c r="L9" s="2">
        <v>4</v>
      </c>
      <c r="M9" s="2">
        <v>0</v>
      </c>
      <c r="N9" s="2">
        <v>0</v>
      </c>
    </row>
    <row r="10" spans="1:15" ht="409.5" x14ac:dyDescent="0.25">
      <c r="A10" s="2" t="s">
        <v>32</v>
      </c>
      <c r="B10" s="2" t="s">
        <v>16</v>
      </c>
      <c r="C10" s="2" t="s">
        <v>33</v>
      </c>
      <c r="D10" s="2" t="s">
        <v>130</v>
      </c>
      <c r="E10" s="2">
        <v>1</v>
      </c>
      <c r="F10" s="2">
        <v>1</v>
      </c>
      <c r="G10" s="2">
        <v>1</v>
      </c>
      <c r="H10" s="2">
        <v>1</v>
      </c>
      <c r="I10" s="4">
        <v>0.5</v>
      </c>
      <c r="J10" s="2">
        <v>1</v>
      </c>
      <c r="K10" s="2" t="b">
        <v>0</v>
      </c>
      <c r="L10" s="2">
        <v>3</v>
      </c>
      <c r="M10" s="2">
        <v>0</v>
      </c>
      <c r="N10" s="2">
        <v>0</v>
      </c>
    </row>
    <row r="11" spans="1:15" ht="266" x14ac:dyDescent="0.25">
      <c r="A11" s="2" t="s">
        <v>34</v>
      </c>
      <c r="B11" s="2" t="s">
        <v>16</v>
      </c>
      <c r="C11" s="2" t="s">
        <v>35</v>
      </c>
      <c r="D11" s="2" t="s">
        <v>132</v>
      </c>
      <c r="E11" s="2">
        <v>1</v>
      </c>
      <c r="F11" s="2">
        <v>1</v>
      </c>
      <c r="G11" s="2">
        <v>1</v>
      </c>
      <c r="H11" s="2">
        <v>1</v>
      </c>
      <c r="I11" s="4">
        <v>1</v>
      </c>
      <c r="J11" s="2">
        <v>0.85699999999999998</v>
      </c>
      <c r="K11" s="2" t="b">
        <v>0</v>
      </c>
      <c r="L11" s="2">
        <v>3</v>
      </c>
      <c r="M11" s="2">
        <v>0</v>
      </c>
      <c r="N11" s="2">
        <v>1</v>
      </c>
    </row>
    <row r="12" spans="1:15" ht="252" x14ac:dyDescent="0.25">
      <c r="A12" s="2" t="s">
        <v>36</v>
      </c>
      <c r="B12" s="2" t="s">
        <v>16</v>
      </c>
      <c r="C12" s="2" t="s">
        <v>37</v>
      </c>
      <c r="D12" s="2" t="s">
        <v>133</v>
      </c>
      <c r="E12" s="2">
        <v>1</v>
      </c>
      <c r="F12" s="2">
        <v>1</v>
      </c>
      <c r="G12" s="2">
        <v>1</v>
      </c>
      <c r="H12" s="2">
        <v>1</v>
      </c>
      <c r="I12" s="4">
        <v>1</v>
      </c>
      <c r="J12" s="2">
        <v>1</v>
      </c>
      <c r="K12" s="2" t="b">
        <v>0</v>
      </c>
      <c r="L12" s="2">
        <v>2</v>
      </c>
      <c r="M12" s="2">
        <v>0</v>
      </c>
      <c r="N12" s="2">
        <v>0</v>
      </c>
    </row>
    <row r="13" spans="1:15" ht="392" x14ac:dyDescent="0.25">
      <c r="A13" s="2" t="s">
        <v>38</v>
      </c>
      <c r="B13" s="2" t="s">
        <v>16</v>
      </c>
      <c r="C13" s="2" t="s">
        <v>39</v>
      </c>
      <c r="D13" s="2" t="s">
        <v>135</v>
      </c>
      <c r="E13" s="2">
        <v>1</v>
      </c>
      <c r="F13" s="2">
        <v>1</v>
      </c>
      <c r="G13" s="2">
        <v>1</v>
      </c>
      <c r="H13" s="2">
        <v>1</v>
      </c>
      <c r="I13" s="4">
        <v>1</v>
      </c>
      <c r="J13" s="2">
        <v>1</v>
      </c>
      <c r="K13" s="2" t="b">
        <v>0</v>
      </c>
      <c r="L13" s="2">
        <v>3</v>
      </c>
      <c r="M13" s="2">
        <v>0</v>
      </c>
      <c r="N13" s="2">
        <v>0</v>
      </c>
    </row>
    <row r="14" spans="1:15" ht="294" x14ac:dyDescent="0.25">
      <c r="A14" s="2" t="s">
        <v>40</v>
      </c>
      <c r="B14" s="2" t="s">
        <v>41</v>
      </c>
      <c r="C14" s="2" t="s">
        <v>42</v>
      </c>
      <c r="D14" s="2" t="s">
        <v>136</v>
      </c>
      <c r="E14" s="2">
        <v>1</v>
      </c>
      <c r="F14" s="2">
        <v>1</v>
      </c>
      <c r="G14" s="2">
        <v>1</v>
      </c>
      <c r="H14" s="2">
        <v>1</v>
      </c>
      <c r="I14" s="4">
        <v>1</v>
      </c>
      <c r="J14" s="2">
        <v>1</v>
      </c>
      <c r="K14" s="2" t="b">
        <v>0</v>
      </c>
      <c r="L14" s="2">
        <v>1</v>
      </c>
      <c r="M14" s="2">
        <v>0</v>
      </c>
      <c r="N14" s="2">
        <v>0</v>
      </c>
    </row>
    <row r="15" spans="1:15" ht="409.5" x14ac:dyDescent="0.25">
      <c r="A15" s="2" t="s">
        <v>43</v>
      </c>
      <c r="B15" s="2" t="s">
        <v>41</v>
      </c>
      <c r="C15" s="2" t="s">
        <v>44</v>
      </c>
      <c r="D15" s="2" t="s">
        <v>131</v>
      </c>
      <c r="E15" s="2">
        <v>1</v>
      </c>
      <c r="F15" s="2">
        <v>1</v>
      </c>
      <c r="G15" s="2">
        <v>1</v>
      </c>
      <c r="H15" s="2">
        <v>1</v>
      </c>
      <c r="I15" s="4">
        <v>1</v>
      </c>
      <c r="J15" s="2">
        <v>1</v>
      </c>
      <c r="K15" s="2" t="b">
        <v>0</v>
      </c>
      <c r="L15" s="2">
        <v>3</v>
      </c>
      <c r="M15" s="2">
        <v>0</v>
      </c>
      <c r="N15" s="2">
        <v>0</v>
      </c>
    </row>
    <row r="16" spans="1:15" ht="350" x14ac:dyDescent="0.25">
      <c r="A16" s="2" t="s">
        <v>45</v>
      </c>
      <c r="B16" s="2" t="s">
        <v>41</v>
      </c>
      <c r="C16" s="2" t="s">
        <v>46</v>
      </c>
      <c r="D16" s="2" t="s">
        <v>137</v>
      </c>
      <c r="E16" s="2">
        <v>1</v>
      </c>
      <c r="F16" s="2">
        <v>1</v>
      </c>
      <c r="G16" s="2">
        <v>1</v>
      </c>
      <c r="H16" s="2">
        <v>1</v>
      </c>
      <c r="I16" s="4">
        <v>1</v>
      </c>
      <c r="J16" s="2">
        <v>1</v>
      </c>
      <c r="K16" s="2" t="b">
        <v>0</v>
      </c>
      <c r="L16" s="2">
        <v>3</v>
      </c>
      <c r="M16" s="2">
        <v>0</v>
      </c>
      <c r="N16" s="2">
        <v>0</v>
      </c>
    </row>
    <row r="17" spans="1:14" ht="409.5" x14ac:dyDescent="0.25">
      <c r="A17" s="2" t="s">
        <v>47</v>
      </c>
      <c r="B17" s="2" t="s">
        <v>41</v>
      </c>
      <c r="C17" s="2" t="s">
        <v>48</v>
      </c>
      <c r="D17" s="2" t="s">
        <v>138</v>
      </c>
      <c r="E17" s="2">
        <v>0</v>
      </c>
      <c r="F17" s="2">
        <v>1</v>
      </c>
      <c r="G17" s="2">
        <v>1</v>
      </c>
      <c r="H17" s="2">
        <v>0.33333333333333331</v>
      </c>
      <c r="I17" s="4">
        <v>0.5</v>
      </c>
      <c r="J17" s="2">
        <v>0.66700000000000004</v>
      </c>
      <c r="K17" s="2" t="b">
        <v>0</v>
      </c>
      <c r="L17" s="2">
        <v>1</v>
      </c>
      <c r="M17" s="2">
        <v>0</v>
      </c>
      <c r="N17" s="2">
        <v>1</v>
      </c>
    </row>
    <row r="18" spans="1:14" ht="409.5" x14ac:dyDescent="0.25">
      <c r="A18" s="2" t="s">
        <v>49</v>
      </c>
      <c r="B18" s="2" t="s">
        <v>41</v>
      </c>
      <c r="C18" s="2" t="s">
        <v>50</v>
      </c>
      <c r="D18" s="2" t="s">
        <v>139</v>
      </c>
      <c r="E18" s="2">
        <v>1</v>
      </c>
      <c r="F18" s="2">
        <v>1</v>
      </c>
      <c r="G18" s="2">
        <v>1</v>
      </c>
      <c r="H18" s="2">
        <v>1</v>
      </c>
      <c r="I18" s="4">
        <v>0.33300000000000002</v>
      </c>
      <c r="J18" s="2">
        <v>1</v>
      </c>
      <c r="K18" s="2" t="b">
        <v>0</v>
      </c>
      <c r="L18" s="2">
        <v>4</v>
      </c>
      <c r="M18" s="2">
        <v>0</v>
      </c>
      <c r="N18" s="2">
        <v>0</v>
      </c>
    </row>
    <row r="19" spans="1:14" ht="322" x14ac:dyDescent="0.25">
      <c r="A19" s="2" t="s">
        <v>51</v>
      </c>
      <c r="B19" s="2" t="s">
        <v>41</v>
      </c>
      <c r="C19" s="2" t="s">
        <v>52</v>
      </c>
      <c r="D19" s="2" t="s">
        <v>140</v>
      </c>
      <c r="E19" s="2">
        <v>0</v>
      </c>
      <c r="F19" s="2">
        <v>1</v>
      </c>
      <c r="G19" s="2">
        <v>1</v>
      </c>
      <c r="H19" s="2">
        <v>0.33333333333333331</v>
      </c>
      <c r="I19" s="4">
        <v>1</v>
      </c>
      <c r="J19" s="2">
        <v>1</v>
      </c>
      <c r="K19" s="2" t="b">
        <v>0</v>
      </c>
      <c r="L19" s="2">
        <v>3</v>
      </c>
      <c r="M19" s="2">
        <v>0</v>
      </c>
      <c r="N19" s="2">
        <v>0</v>
      </c>
    </row>
    <row r="20" spans="1:14" ht="294" x14ac:dyDescent="0.25">
      <c r="A20" s="2" t="s">
        <v>53</v>
      </c>
      <c r="B20" s="2" t="s">
        <v>41</v>
      </c>
      <c r="C20" s="2" t="s">
        <v>54</v>
      </c>
      <c r="D20" s="2" t="s">
        <v>141</v>
      </c>
      <c r="E20" s="2">
        <v>1</v>
      </c>
      <c r="F20" s="2">
        <v>1</v>
      </c>
      <c r="G20" s="2">
        <v>1</v>
      </c>
      <c r="H20" s="2">
        <v>1</v>
      </c>
      <c r="I20" s="4">
        <v>1</v>
      </c>
      <c r="J20" s="2">
        <v>1</v>
      </c>
      <c r="K20" s="2" t="b">
        <v>0</v>
      </c>
      <c r="L20" s="2">
        <v>1</v>
      </c>
      <c r="M20" s="2">
        <v>0</v>
      </c>
      <c r="N20" s="2">
        <v>0</v>
      </c>
    </row>
    <row r="21" spans="1:14" ht="364" x14ac:dyDescent="0.25">
      <c r="A21" s="2" t="s">
        <v>161</v>
      </c>
      <c r="B21" s="2" t="s">
        <v>41</v>
      </c>
      <c r="C21" s="2" t="s">
        <v>55</v>
      </c>
      <c r="D21" s="2" t="s">
        <v>142</v>
      </c>
      <c r="E21" s="2">
        <v>1</v>
      </c>
      <c r="F21" s="2">
        <v>1</v>
      </c>
      <c r="G21" s="2">
        <v>1</v>
      </c>
      <c r="H21" s="2">
        <v>1</v>
      </c>
      <c r="I21" s="4">
        <v>1</v>
      </c>
      <c r="J21" s="2">
        <v>0.66700000000000004</v>
      </c>
      <c r="K21" s="2" t="b">
        <v>0</v>
      </c>
      <c r="L21" s="2">
        <v>1</v>
      </c>
      <c r="M21" s="2">
        <v>1</v>
      </c>
      <c r="N21" s="2">
        <v>0</v>
      </c>
    </row>
    <row r="22" spans="1:14" ht="406" x14ac:dyDescent="0.25">
      <c r="A22" s="2" t="s">
        <v>56</v>
      </c>
      <c r="B22" s="2" t="s">
        <v>41</v>
      </c>
      <c r="C22" s="2" t="s">
        <v>57</v>
      </c>
      <c r="D22" s="2" t="s">
        <v>143</v>
      </c>
      <c r="E22" s="2">
        <v>1</v>
      </c>
      <c r="F22" s="2">
        <v>1</v>
      </c>
      <c r="G22" s="2">
        <v>1</v>
      </c>
      <c r="H22" s="2">
        <v>1</v>
      </c>
      <c r="I22" s="4">
        <v>1</v>
      </c>
      <c r="J22" s="2">
        <v>1</v>
      </c>
      <c r="K22" s="2" t="b">
        <v>0</v>
      </c>
      <c r="L22" s="2">
        <v>3</v>
      </c>
      <c r="M22" s="2">
        <v>0</v>
      </c>
      <c r="N22" s="2">
        <v>0</v>
      </c>
    </row>
    <row r="23" spans="1:14" ht="409.5" x14ac:dyDescent="0.25">
      <c r="A23" s="2" t="s">
        <v>58</v>
      </c>
      <c r="B23" s="2" t="s">
        <v>41</v>
      </c>
      <c r="C23" s="2" t="s">
        <v>59</v>
      </c>
      <c r="D23" s="2" t="s">
        <v>144</v>
      </c>
      <c r="E23" s="2">
        <v>1</v>
      </c>
      <c r="F23" s="2">
        <v>1</v>
      </c>
      <c r="G23" s="2">
        <v>1</v>
      </c>
      <c r="H23" s="2">
        <v>1</v>
      </c>
      <c r="I23" s="4">
        <v>1</v>
      </c>
      <c r="J23" s="2">
        <v>1</v>
      </c>
      <c r="K23" s="2" t="b">
        <v>0</v>
      </c>
      <c r="L23" s="2">
        <v>2</v>
      </c>
      <c r="M23" s="2">
        <v>0</v>
      </c>
      <c r="N23" s="2">
        <v>0</v>
      </c>
    </row>
    <row r="24" spans="1:14" ht="266" x14ac:dyDescent="0.25">
      <c r="A24" s="2" t="s">
        <v>60</v>
      </c>
      <c r="B24" s="2" t="s">
        <v>41</v>
      </c>
      <c r="C24" s="2" t="s">
        <v>61</v>
      </c>
      <c r="D24" s="2" t="s">
        <v>146</v>
      </c>
      <c r="E24" s="2">
        <v>1</v>
      </c>
      <c r="F24" s="2">
        <v>1</v>
      </c>
      <c r="G24" s="2">
        <v>1</v>
      </c>
      <c r="H24" s="2">
        <v>1</v>
      </c>
      <c r="I24" s="4">
        <v>1</v>
      </c>
      <c r="J24" s="2">
        <v>0.66700000000000004</v>
      </c>
      <c r="K24" s="2" t="b">
        <v>0</v>
      </c>
      <c r="L24" s="2">
        <v>1</v>
      </c>
      <c r="M24" s="2">
        <v>1</v>
      </c>
      <c r="N24" s="2">
        <v>0</v>
      </c>
    </row>
    <row r="25" spans="1:14" ht="409.5" x14ac:dyDescent="0.25">
      <c r="A25" s="2" t="s">
        <v>62</v>
      </c>
      <c r="B25" s="2" t="s">
        <v>63</v>
      </c>
      <c r="C25" s="2" t="s">
        <v>64</v>
      </c>
      <c r="D25" s="2" t="s">
        <v>148</v>
      </c>
      <c r="E25" s="2">
        <v>1</v>
      </c>
      <c r="F25" s="2">
        <v>1</v>
      </c>
      <c r="G25" s="2">
        <v>1</v>
      </c>
      <c r="H25" s="2">
        <v>1</v>
      </c>
      <c r="I25" s="4">
        <v>1</v>
      </c>
      <c r="J25" s="2">
        <v>1</v>
      </c>
      <c r="K25" s="2" t="b">
        <v>0</v>
      </c>
      <c r="L25" s="2">
        <v>2</v>
      </c>
      <c r="M25" s="2">
        <v>0</v>
      </c>
      <c r="N25" s="2">
        <v>0</v>
      </c>
    </row>
    <row r="26" spans="1:14" ht="294" x14ac:dyDescent="0.25">
      <c r="A26" s="2" t="s">
        <v>65</v>
      </c>
      <c r="B26" s="2" t="s">
        <v>63</v>
      </c>
      <c r="C26" s="2" t="s">
        <v>66</v>
      </c>
      <c r="D26" s="2" t="s">
        <v>149</v>
      </c>
      <c r="E26" s="2">
        <v>1</v>
      </c>
      <c r="F26" s="2">
        <v>1</v>
      </c>
      <c r="G26" s="2">
        <v>1</v>
      </c>
      <c r="H26" s="2">
        <v>1</v>
      </c>
      <c r="I26" s="4">
        <v>1</v>
      </c>
      <c r="J26" s="2">
        <v>1</v>
      </c>
      <c r="K26" s="2" t="b">
        <v>0</v>
      </c>
      <c r="L26" s="2">
        <v>1</v>
      </c>
      <c r="M26" s="2">
        <v>0</v>
      </c>
      <c r="N26" s="2">
        <v>0</v>
      </c>
    </row>
    <row r="27" spans="1:14" ht="294" x14ac:dyDescent="0.25">
      <c r="A27" s="2" t="s">
        <v>67</v>
      </c>
      <c r="B27" s="2" t="s">
        <v>63</v>
      </c>
      <c r="C27" s="2" t="s">
        <v>68</v>
      </c>
      <c r="D27" s="2" t="s">
        <v>151</v>
      </c>
      <c r="E27" s="2">
        <v>1</v>
      </c>
      <c r="F27" s="2">
        <v>1</v>
      </c>
      <c r="G27" s="2">
        <v>1</v>
      </c>
      <c r="H27" s="2">
        <v>1</v>
      </c>
      <c r="I27" s="4">
        <v>1</v>
      </c>
      <c r="J27" s="2">
        <v>1</v>
      </c>
      <c r="K27" s="2" t="b">
        <v>0</v>
      </c>
      <c r="L27" s="2">
        <v>2</v>
      </c>
      <c r="M27" s="2">
        <v>0</v>
      </c>
      <c r="N27" s="2">
        <v>0</v>
      </c>
    </row>
    <row r="28" spans="1:14" ht="210" x14ac:dyDescent="0.25">
      <c r="A28" s="2" t="s">
        <v>69</v>
      </c>
      <c r="B28" s="2" t="s">
        <v>63</v>
      </c>
      <c r="C28" s="2" t="s">
        <v>70</v>
      </c>
      <c r="D28" s="2" t="s">
        <v>147</v>
      </c>
      <c r="E28" s="2">
        <v>1</v>
      </c>
      <c r="F28" s="2">
        <v>1</v>
      </c>
      <c r="G28" s="2">
        <v>1</v>
      </c>
      <c r="H28" s="2">
        <v>1</v>
      </c>
      <c r="I28" s="4">
        <v>1</v>
      </c>
      <c r="J28" s="2">
        <v>1</v>
      </c>
      <c r="K28" s="2" t="b">
        <v>0</v>
      </c>
      <c r="L28" s="2">
        <v>1</v>
      </c>
      <c r="M28" s="2">
        <v>0</v>
      </c>
      <c r="N28" s="2">
        <v>0</v>
      </c>
    </row>
    <row r="29" spans="1:14" ht="238" x14ac:dyDescent="0.25">
      <c r="A29" s="2" t="s">
        <v>71</v>
      </c>
      <c r="B29" s="2" t="s">
        <v>63</v>
      </c>
      <c r="C29" s="2" t="s">
        <v>72</v>
      </c>
      <c r="D29" s="2" t="s">
        <v>134</v>
      </c>
      <c r="E29" s="2">
        <v>1</v>
      </c>
      <c r="F29" s="2">
        <v>1</v>
      </c>
      <c r="G29" s="2">
        <v>1</v>
      </c>
      <c r="H29" s="2">
        <v>1</v>
      </c>
      <c r="I29" s="4">
        <v>1</v>
      </c>
      <c r="J29" s="2">
        <v>1</v>
      </c>
      <c r="K29" s="2" t="b">
        <v>0</v>
      </c>
      <c r="L29" s="2">
        <v>1</v>
      </c>
      <c r="M29" s="2">
        <v>0</v>
      </c>
      <c r="N29" s="2">
        <v>0</v>
      </c>
    </row>
    <row r="30" spans="1:14" ht="280" x14ac:dyDescent="0.25">
      <c r="A30" s="2" t="s">
        <v>73</v>
      </c>
      <c r="B30" s="2" t="s">
        <v>63</v>
      </c>
      <c r="C30" s="2" t="s">
        <v>74</v>
      </c>
      <c r="D30" s="2" t="s">
        <v>152</v>
      </c>
      <c r="E30" s="2">
        <v>1</v>
      </c>
      <c r="F30" s="2">
        <v>1</v>
      </c>
      <c r="G30" s="2">
        <v>1</v>
      </c>
      <c r="H30" s="2">
        <v>1</v>
      </c>
      <c r="I30" s="4">
        <v>1</v>
      </c>
      <c r="J30" s="2">
        <v>1</v>
      </c>
      <c r="K30" s="2" t="b">
        <v>0</v>
      </c>
      <c r="L30" s="2">
        <v>3</v>
      </c>
      <c r="M30" s="2">
        <v>0</v>
      </c>
      <c r="N30" s="2">
        <v>0</v>
      </c>
    </row>
    <row r="31" spans="1:14" ht="336" x14ac:dyDescent="0.25">
      <c r="A31" s="2" t="s">
        <v>75</v>
      </c>
      <c r="B31" s="2" t="s">
        <v>63</v>
      </c>
      <c r="C31" s="2" t="s">
        <v>76</v>
      </c>
      <c r="D31" s="2" t="s">
        <v>127</v>
      </c>
      <c r="E31" s="2">
        <v>1</v>
      </c>
      <c r="F31" s="2">
        <v>1</v>
      </c>
      <c r="G31" s="2">
        <v>1</v>
      </c>
      <c r="H31" s="2">
        <v>1</v>
      </c>
      <c r="I31" s="4">
        <v>1</v>
      </c>
      <c r="J31" s="2">
        <v>1</v>
      </c>
      <c r="K31" s="2" t="b">
        <v>0</v>
      </c>
      <c r="L31" s="2">
        <v>3</v>
      </c>
      <c r="M31" s="2">
        <v>0</v>
      </c>
      <c r="N31" s="2">
        <v>0</v>
      </c>
    </row>
    <row r="32" spans="1:14" ht="409.5" x14ac:dyDescent="0.25">
      <c r="A32" s="2" t="s">
        <v>77</v>
      </c>
      <c r="B32" s="2" t="s">
        <v>63</v>
      </c>
      <c r="C32" s="2" t="s">
        <v>78</v>
      </c>
      <c r="D32" s="2" t="s">
        <v>128</v>
      </c>
      <c r="E32" s="2">
        <v>1</v>
      </c>
      <c r="F32" s="2">
        <v>1</v>
      </c>
      <c r="G32" s="2">
        <v>1</v>
      </c>
      <c r="H32" s="2">
        <v>1</v>
      </c>
      <c r="I32" s="4">
        <v>0.5</v>
      </c>
      <c r="J32" s="2">
        <v>1</v>
      </c>
      <c r="K32" s="2" t="b">
        <v>0</v>
      </c>
      <c r="L32" s="2">
        <v>3</v>
      </c>
      <c r="M32" s="2">
        <v>0</v>
      </c>
      <c r="N32" s="2">
        <v>0</v>
      </c>
    </row>
    <row r="33" spans="1:15" ht="409.5" x14ac:dyDescent="0.25">
      <c r="A33" s="2" t="s">
        <v>79</v>
      </c>
      <c r="B33" s="2" t="s">
        <v>63</v>
      </c>
      <c r="C33" s="2" t="s">
        <v>80</v>
      </c>
      <c r="D33" s="2" t="s">
        <v>154</v>
      </c>
      <c r="E33" s="2">
        <v>1</v>
      </c>
      <c r="F33" s="2">
        <v>1</v>
      </c>
      <c r="G33" s="2">
        <v>1</v>
      </c>
      <c r="H33" s="2">
        <v>1</v>
      </c>
      <c r="I33" s="4">
        <v>1</v>
      </c>
      <c r="J33" s="2">
        <v>1</v>
      </c>
      <c r="K33" s="2" t="b">
        <v>0</v>
      </c>
      <c r="L33" s="2">
        <v>3</v>
      </c>
      <c r="M33" s="2">
        <v>0</v>
      </c>
      <c r="N33" s="2">
        <v>0</v>
      </c>
    </row>
    <row r="34" spans="1:15" ht="409.5" x14ac:dyDescent="0.25">
      <c r="A34" s="2" t="s">
        <v>81</v>
      </c>
      <c r="B34" s="2" t="s">
        <v>63</v>
      </c>
      <c r="C34" s="2" t="s">
        <v>82</v>
      </c>
      <c r="D34" s="2" t="s">
        <v>155</v>
      </c>
      <c r="E34" s="2">
        <v>1</v>
      </c>
      <c r="F34" s="2">
        <v>1</v>
      </c>
      <c r="G34" s="2">
        <v>1</v>
      </c>
      <c r="H34" s="2">
        <v>1</v>
      </c>
      <c r="I34" s="4">
        <v>1</v>
      </c>
      <c r="J34" s="2">
        <v>1</v>
      </c>
      <c r="K34" s="2" t="b">
        <v>0</v>
      </c>
      <c r="L34" s="2">
        <v>3</v>
      </c>
      <c r="M34" s="2">
        <v>0</v>
      </c>
      <c r="N34" s="2">
        <v>0</v>
      </c>
    </row>
    <row r="35" spans="1:15" ht="266" x14ac:dyDescent="0.25">
      <c r="A35" s="2" t="s">
        <v>83</v>
      </c>
      <c r="B35" s="2" t="s">
        <v>63</v>
      </c>
      <c r="C35" s="2" t="s">
        <v>84</v>
      </c>
      <c r="D35" s="2" t="s">
        <v>156</v>
      </c>
      <c r="E35" s="2">
        <v>1</v>
      </c>
      <c r="F35" s="2">
        <v>1</v>
      </c>
      <c r="G35" s="2">
        <v>1</v>
      </c>
      <c r="H35" s="2">
        <v>1</v>
      </c>
      <c r="I35" s="4">
        <v>1</v>
      </c>
      <c r="J35" s="2">
        <v>0.66700000000000004</v>
      </c>
      <c r="K35" s="2" t="b">
        <v>0</v>
      </c>
      <c r="L35" s="2">
        <v>1</v>
      </c>
      <c r="M35" s="2">
        <v>0</v>
      </c>
      <c r="N35" s="2">
        <v>1</v>
      </c>
    </row>
    <row r="36" spans="1:15" ht="409.5" x14ac:dyDescent="0.25">
      <c r="A36" s="2" t="s">
        <v>85</v>
      </c>
      <c r="B36" s="2" t="s">
        <v>86</v>
      </c>
      <c r="C36" s="2" t="s">
        <v>87</v>
      </c>
      <c r="D36" s="2" t="s">
        <v>150</v>
      </c>
      <c r="E36" s="2">
        <v>1</v>
      </c>
      <c r="F36" s="2">
        <v>1</v>
      </c>
      <c r="G36" s="2">
        <v>1</v>
      </c>
      <c r="H36" s="2">
        <v>1</v>
      </c>
      <c r="I36" s="4">
        <v>0.5</v>
      </c>
      <c r="J36" s="2">
        <v>1</v>
      </c>
      <c r="K36" s="2" t="b">
        <v>0</v>
      </c>
      <c r="L36" s="2">
        <v>2</v>
      </c>
      <c r="M36" s="2">
        <v>0</v>
      </c>
      <c r="N36" s="2">
        <v>0</v>
      </c>
    </row>
    <row r="37" spans="1:15" ht="409.5" x14ac:dyDescent="0.25">
      <c r="A37" s="2" t="s">
        <v>88</v>
      </c>
      <c r="B37" s="2" t="s">
        <v>86</v>
      </c>
      <c r="C37" s="2" t="s">
        <v>89</v>
      </c>
      <c r="D37" s="2" t="s">
        <v>157</v>
      </c>
      <c r="E37" s="2">
        <v>0</v>
      </c>
      <c r="F37" s="2">
        <v>1</v>
      </c>
      <c r="G37" s="2">
        <v>1</v>
      </c>
      <c r="H37" s="2">
        <v>0.5</v>
      </c>
      <c r="I37" s="4">
        <v>1</v>
      </c>
      <c r="J37" s="2">
        <v>1</v>
      </c>
      <c r="K37" s="2" t="b">
        <v>0</v>
      </c>
      <c r="L37" s="2">
        <v>2</v>
      </c>
      <c r="M37" s="2">
        <v>0</v>
      </c>
      <c r="N37" s="2">
        <v>0</v>
      </c>
    </row>
    <row r="38" spans="1:15" ht="409.5" x14ac:dyDescent="0.25">
      <c r="A38" s="2" t="s">
        <v>90</v>
      </c>
      <c r="B38" s="2" t="s">
        <v>86</v>
      </c>
      <c r="C38" s="2" t="s">
        <v>91</v>
      </c>
      <c r="D38" s="2" t="s">
        <v>158</v>
      </c>
      <c r="E38" s="2">
        <v>0</v>
      </c>
      <c r="F38" s="2">
        <v>0</v>
      </c>
      <c r="G38" s="2">
        <v>0</v>
      </c>
      <c r="H38" s="2">
        <v>0</v>
      </c>
      <c r="I38" s="4">
        <v>0.66700000000000004</v>
      </c>
      <c r="J38" s="2">
        <v>0.85699999999999998</v>
      </c>
      <c r="K38" s="2" t="b">
        <v>0</v>
      </c>
      <c r="L38" s="2">
        <v>3</v>
      </c>
      <c r="M38" s="2">
        <v>0</v>
      </c>
      <c r="N38" s="2">
        <v>1</v>
      </c>
    </row>
    <row r="39" spans="1:15" s="5" customFormat="1" ht="409.5" x14ac:dyDescent="0.25">
      <c r="A39" s="5" t="s">
        <v>92</v>
      </c>
      <c r="B39" s="5" t="s">
        <v>86</v>
      </c>
      <c r="C39" s="5" t="s">
        <v>93</v>
      </c>
      <c r="D39" s="5" t="s">
        <v>124</v>
      </c>
      <c r="E39" s="5">
        <v>0</v>
      </c>
      <c r="F39" s="5">
        <v>0</v>
      </c>
      <c r="G39" s="5">
        <v>1</v>
      </c>
      <c r="H39" s="5">
        <v>0.2</v>
      </c>
      <c r="I39" s="5">
        <v>0</v>
      </c>
      <c r="J39" s="5">
        <v>0.66700000000000004</v>
      </c>
      <c r="K39" s="5" t="b">
        <v>0</v>
      </c>
      <c r="L39" s="5">
        <v>1</v>
      </c>
      <c r="M39" s="5">
        <v>0</v>
      </c>
      <c r="N39" s="5">
        <v>1</v>
      </c>
    </row>
    <row r="40" spans="1:15" ht="409.5" x14ac:dyDescent="0.25">
      <c r="A40" s="2" t="s">
        <v>94</v>
      </c>
      <c r="B40" s="2" t="s">
        <v>86</v>
      </c>
      <c r="C40" s="2" t="s">
        <v>95</v>
      </c>
      <c r="D40" s="2" t="s">
        <v>153</v>
      </c>
      <c r="E40" s="2">
        <v>1</v>
      </c>
      <c r="F40" s="2">
        <v>1</v>
      </c>
      <c r="G40" s="2">
        <v>1</v>
      </c>
      <c r="H40" s="2">
        <v>1</v>
      </c>
      <c r="I40" s="4">
        <v>1</v>
      </c>
      <c r="J40" s="2">
        <v>0.5</v>
      </c>
      <c r="K40" s="2" t="b">
        <v>0</v>
      </c>
      <c r="L40" s="2">
        <v>2</v>
      </c>
      <c r="M40" s="2">
        <v>0</v>
      </c>
      <c r="N40" s="2">
        <v>4</v>
      </c>
    </row>
    <row r="41" spans="1:15" ht="409.5" x14ac:dyDescent="0.25">
      <c r="A41" s="2" t="s">
        <v>96</v>
      </c>
      <c r="B41" s="2" t="s">
        <v>86</v>
      </c>
      <c r="C41" s="2" t="s">
        <v>97</v>
      </c>
      <c r="D41" s="2" t="s">
        <v>159</v>
      </c>
      <c r="E41" s="2">
        <v>1</v>
      </c>
      <c r="F41" s="2">
        <v>1</v>
      </c>
      <c r="G41" s="2">
        <v>1</v>
      </c>
      <c r="H41" s="2">
        <v>1</v>
      </c>
      <c r="I41" s="4">
        <v>1</v>
      </c>
      <c r="J41" s="2">
        <v>0.8</v>
      </c>
      <c r="K41" s="2" t="b">
        <v>0</v>
      </c>
      <c r="L41" s="2">
        <v>2</v>
      </c>
      <c r="M41" s="2">
        <v>0</v>
      </c>
      <c r="N41" s="2">
        <v>1</v>
      </c>
    </row>
    <row r="42" spans="1:15" ht="409.5" x14ac:dyDescent="0.25">
      <c r="A42" s="2" t="s">
        <v>98</v>
      </c>
      <c r="B42" s="2" t="s">
        <v>86</v>
      </c>
      <c r="C42" s="2" t="s">
        <v>99</v>
      </c>
      <c r="D42" s="2" t="s">
        <v>160</v>
      </c>
      <c r="E42" s="2">
        <v>0</v>
      </c>
      <c r="F42" s="2">
        <v>0</v>
      </c>
      <c r="G42" s="2">
        <v>1</v>
      </c>
      <c r="H42" s="2">
        <v>0.25</v>
      </c>
      <c r="I42" s="4">
        <v>0.5</v>
      </c>
      <c r="J42" s="2">
        <v>0.8</v>
      </c>
      <c r="K42" s="2" t="b">
        <v>0</v>
      </c>
      <c r="L42" s="2">
        <v>4</v>
      </c>
      <c r="M42" s="2">
        <v>0</v>
      </c>
      <c r="N42" s="2">
        <v>2</v>
      </c>
    </row>
    <row r="43" spans="1:15" ht="409.5" x14ac:dyDescent="0.25">
      <c r="A43" s="2" t="s">
        <v>100</v>
      </c>
      <c r="B43" s="2" t="s">
        <v>86</v>
      </c>
      <c r="C43" s="2" t="s">
        <v>101</v>
      </c>
      <c r="D43" s="2" t="s">
        <v>145</v>
      </c>
      <c r="E43" s="2">
        <v>1</v>
      </c>
      <c r="F43" s="2">
        <v>1</v>
      </c>
      <c r="G43" s="2">
        <v>1</v>
      </c>
      <c r="H43" s="2">
        <v>1</v>
      </c>
      <c r="I43" s="4">
        <v>0.5</v>
      </c>
      <c r="J43" s="2">
        <v>0.66700000000000004</v>
      </c>
      <c r="K43" s="2" t="b">
        <v>0</v>
      </c>
      <c r="L43" s="2">
        <v>2</v>
      </c>
      <c r="M43" s="2">
        <v>1</v>
      </c>
      <c r="N43" s="2">
        <v>1</v>
      </c>
    </row>
    <row r="44" spans="1:15" ht="56" x14ac:dyDescent="0.25">
      <c r="A44" s="2" t="s">
        <v>102</v>
      </c>
      <c r="B44" s="2" t="s">
        <v>103</v>
      </c>
      <c r="C44" s="2" t="s">
        <v>104</v>
      </c>
      <c r="D44" s="2" t="s">
        <v>105</v>
      </c>
      <c r="J44" s="2">
        <v>1</v>
      </c>
      <c r="K44" s="2" t="b">
        <v>1</v>
      </c>
      <c r="L44" s="2">
        <v>1</v>
      </c>
      <c r="M44" s="2">
        <v>0</v>
      </c>
      <c r="N44" s="2">
        <v>0</v>
      </c>
      <c r="O44" s="2" t="b">
        <v>1</v>
      </c>
    </row>
    <row r="45" spans="1:15" ht="70" x14ac:dyDescent="0.25">
      <c r="A45" s="2" t="s">
        <v>106</v>
      </c>
      <c r="B45" s="2" t="s">
        <v>103</v>
      </c>
      <c r="C45" s="2" t="s">
        <v>104</v>
      </c>
      <c r="D45" s="2" t="s">
        <v>105</v>
      </c>
      <c r="J45" s="2">
        <v>1</v>
      </c>
      <c r="K45" s="2" t="b">
        <v>1</v>
      </c>
      <c r="L45" s="2">
        <v>1</v>
      </c>
      <c r="M45" s="2">
        <v>0</v>
      </c>
      <c r="N45" s="2">
        <v>0</v>
      </c>
      <c r="O45" s="2" t="b">
        <v>1</v>
      </c>
    </row>
    <row r="46" spans="1:15" ht="42" x14ac:dyDescent="0.25">
      <c r="A46" s="2" t="s">
        <v>107</v>
      </c>
      <c r="B46" s="2" t="s">
        <v>103</v>
      </c>
      <c r="C46" s="2" t="s">
        <v>104</v>
      </c>
      <c r="D46" s="2" t="s">
        <v>105</v>
      </c>
      <c r="J46" s="2">
        <v>1</v>
      </c>
      <c r="K46" s="2" t="b">
        <v>1</v>
      </c>
      <c r="L46" s="2">
        <v>1</v>
      </c>
      <c r="M46" s="2">
        <v>0</v>
      </c>
      <c r="N46" s="2">
        <v>0</v>
      </c>
      <c r="O46" s="2" t="b">
        <v>1</v>
      </c>
    </row>
    <row r="47" spans="1:15" ht="84" x14ac:dyDescent="0.25">
      <c r="A47" s="2" t="s">
        <v>108</v>
      </c>
      <c r="B47" s="2" t="s">
        <v>103</v>
      </c>
      <c r="C47" s="2" t="s">
        <v>104</v>
      </c>
      <c r="D47" s="2" t="s">
        <v>105</v>
      </c>
      <c r="J47" s="2">
        <v>1</v>
      </c>
      <c r="K47" s="2" t="b">
        <v>1</v>
      </c>
      <c r="L47" s="2">
        <v>1</v>
      </c>
      <c r="M47" s="2">
        <v>0</v>
      </c>
      <c r="N47" s="2">
        <v>0</v>
      </c>
      <c r="O47" s="2" t="b">
        <v>1</v>
      </c>
    </row>
    <row r="48" spans="1:15" ht="42" x14ac:dyDescent="0.25">
      <c r="A48" s="2" t="s">
        <v>109</v>
      </c>
      <c r="B48" s="2" t="s">
        <v>103</v>
      </c>
      <c r="C48" s="2" t="s">
        <v>104</v>
      </c>
      <c r="D48" s="2" t="s">
        <v>105</v>
      </c>
      <c r="J48" s="2">
        <v>1</v>
      </c>
      <c r="K48" s="2" t="b">
        <v>1</v>
      </c>
      <c r="L48" s="2">
        <v>1</v>
      </c>
      <c r="M48" s="2">
        <v>0</v>
      </c>
      <c r="N48" s="2">
        <v>0</v>
      </c>
      <c r="O48" s="2" t="b">
        <v>1</v>
      </c>
    </row>
    <row r="49" spans="1:15" ht="56" x14ac:dyDescent="0.25">
      <c r="A49" s="2" t="s">
        <v>110</v>
      </c>
      <c r="B49" s="2" t="s">
        <v>103</v>
      </c>
      <c r="C49" s="2" t="s">
        <v>104</v>
      </c>
      <c r="D49" s="2" t="s">
        <v>105</v>
      </c>
      <c r="J49" s="2">
        <v>1</v>
      </c>
      <c r="K49" s="2" t="b">
        <v>1</v>
      </c>
      <c r="L49" s="2">
        <v>1</v>
      </c>
      <c r="M49" s="2">
        <v>0</v>
      </c>
      <c r="N49" s="2">
        <v>0</v>
      </c>
      <c r="O49" s="2" t="b">
        <v>1</v>
      </c>
    </row>
    <row r="50" spans="1:15" ht="56" x14ac:dyDescent="0.25">
      <c r="A50" s="2" t="s">
        <v>111</v>
      </c>
      <c r="B50" s="2" t="s">
        <v>103</v>
      </c>
      <c r="C50" s="2" t="s">
        <v>104</v>
      </c>
      <c r="D50" s="2" t="s">
        <v>105</v>
      </c>
      <c r="J50" s="2">
        <v>1</v>
      </c>
      <c r="K50" s="2" t="b">
        <v>1</v>
      </c>
      <c r="L50" s="2">
        <v>1</v>
      </c>
      <c r="M50" s="2">
        <v>0</v>
      </c>
      <c r="N50" s="2">
        <v>0</v>
      </c>
      <c r="O50" s="2" t="b">
        <v>1</v>
      </c>
    </row>
    <row r="51" spans="1:15" ht="56" x14ac:dyDescent="0.25">
      <c r="A51" s="2" t="s">
        <v>112</v>
      </c>
      <c r="B51" s="2" t="s">
        <v>103</v>
      </c>
      <c r="C51" s="2" t="s">
        <v>104</v>
      </c>
      <c r="D51" s="2" t="s">
        <v>105</v>
      </c>
      <c r="J51" s="2">
        <v>1</v>
      </c>
      <c r="K51" s="2" t="b">
        <v>1</v>
      </c>
      <c r="L51" s="2">
        <v>1</v>
      </c>
      <c r="M51" s="2">
        <v>0</v>
      </c>
      <c r="N51" s="2">
        <v>0</v>
      </c>
      <c r="O51" s="2" t="b">
        <v>1</v>
      </c>
    </row>
    <row r="53" spans="1:15" x14ac:dyDescent="0.25">
      <c r="A53" s="2" t="s">
        <v>113</v>
      </c>
      <c r="E53" s="2">
        <f>AVERAGEIFS(E2:E51,K2:K51,FALSE)</f>
        <v>0.80952380952380953</v>
      </c>
      <c r="F53" s="2">
        <f>AVERAGEIFS(F2:F51,K2:K51,FALSE)</f>
        <v>0.9285714285714286</v>
      </c>
      <c r="G53" s="2">
        <f>AVERAGEIFS(G2:G51,K2:K51,FALSE)</f>
        <v>0.97619047619047616</v>
      </c>
      <c r="H53" s="2">
        <f>AVERAGEIFS(H2:H51,K2:K51,FALSE)</f>
        <v>0.86388888888888904</v>
      </c>
      <c r="I53" s="4">
        <f>AVERAGEIFS(I2:I51,K2:K51,FALSE)</f>
        <v>0.88095238095238093</v>
      </c>
      <c r="J53" s="2">
        <f>AVERAGE(J2:J51)</f>
        <v>0.92165999999999992</v>
      </c>
      <c r="L53" s="2">
        <f>AVERAGE(L2:L51)</f>
        <v>1.98</v>
      </c>
      <c r="M53" s="2">
        <f>AVERAGE(M2:M51)</f>
        <v>0.06</v>
      </c>
      <c r="N53" s="2">
        <f>AVERAGE(N2:N51)</f>
        <v>0.34</v>
      </c>
    </row>
    <row r="54" spans="1:15" x14ac:dyDescent="0.25">
      <c r="A54" s="2" t="s">
        <v>114</v>
      </c>
      <c r="B54" s="2" t="s">
        <v>16</v>
      </c>
      <c r="E54" s="2">
        <f>AVERAGEIFS(E2:E51,B2:B51,"定义类",K2:K51,FALSE)</f>
        <v>0.83333333333333337</v>
      </c>
      <c r="F54" s="2">
        <f>AVERAGEIFS(F2:F51,B2:B51,"定义类",K2:K51,FALSE)</f>
        <v>1</v>
      </c>
      <c r="G54" s="2">
        <f>AVERAGEIFS(G2:G51,B2:B51,"定义类",K2:K51,FALSE)</f>
        <v>1</v>
      </c>
      <c r="H54" s="2">
        <f>AVERAGEIFS(H2:H51,B2:B51,"定义类",K2:K51,FALSE)</f>
        <v>0.88888888888888884</v>
      </c>
      <c r="I54" s="4">
        <f>AVERAGEIFS(I2:I51,B2:B51,"定义类",K2:K51,FALSE)</f>
        <v>0.95833333333333337</v>
      </c>
      <c r="J54" s="2">
        <f>AVERAGEIF(B2:B51,"定义类",J2:J51)</f>
        <v>0.92699999999999994</v>
      </c>
      <c r="L54" s="2">
        <f>AVERAGEIF(B2:B51,"定义类",L2:L51)</f>
        <v>2.25</v>
      </c>
      <c r="M54" s="2">
        <f>AVERAGEIF(B2:B51,"定义类",M2:M51)</f>
        <v>0</v>
      </c>
      <c r="N54" s="2">
        <f>AVERAGEIF(B2:B51,"定义类",N2:N51)</f>
        <v>0.41666666666666669</v>
      </c>
    </row>
    <row r="55" spans="1:15" ht="28" x14ac:dyDescent="0.25">
      <c r="A55" s="2" t="s">
        <v>115</v>
      </c>
      <c r="B55" s="2" t="s">
        <v>41</v>
      </c>
      <c r="E55" s="2">
        <f>AVERAGEIFS(E2:E51,B2:B51,"方法细节类",K2:K51,FALSE)</f>
        <v>0.81818181818181823</v>
      </c>
      <c r="F55" s="2">
        <f>AVERAGEIFS(F2:F51,B2:B51,"方法细节类",K2:K51,FALSE)</f>
        <v>1</v>
      </c>
      <c r="G55" s="2">
        <f>AVERAGEIFS(G2:G51,B2:B51,"方法细节类",K2:K51,FALSE)</f>
        <v>1</v>
      </c>
      <c r="H55" s="2">
        <f>AVERAGEIFS(H2:H51,B2:B51,"方法细节类",K2:K51,FALSE)</f>
        <v>0.8787878787878789</v>
      </c>
      <c r="I55" s="4">
        <f>AVERAGEIFS(I2:I51,B2:B51,"方法细节类",K2:K51,FALSE)</f>
        <v>0.89390909090909088</v>
      </c>
      <c r="J55" s="2">
        <f>AVERAGEIF(B2:B51,"方法细节类",J2:J51)</f>
        <v>0.90918181818181809</v>
      </c>
      <c r="L55" s="2">
        <f>AVERAGEIF(B2:B51,"方法细节类",L2:L51)</f>
        <v>2.0909090909090908</v>
      </c>
      <c r="M55" s="2">
        <f>AVERAGEIF(B2:B51,"方法细节类",M2:M51)</f>
        <v>0.18181818181818182</v>
      </c>
      <c r="N55" s="2">
        <f>AVERAGEIF(B2:B51,"方法细节类",N2:N51)</f>
        <v>9.0909090909090912E-2</v>
      </c>
    </row>
    <row r="56" spans="1:15" ht="28" x14ac:dyDescent="0.25">
      <c r="A56" s="2" t="s">
        <v>116</v>
      </c>
      <c r="B56" s="2" t="s">
        <v>63</v>
      </c>
      <c r="E56" s="2">
        <f>AVERAGEIFS(E2:E51,B2:B51,"实验结果类",K2:K51,FALSE)</f>
        <v>1</v>
      </c>
      <c r="F56" s="2">
        <f>AVERAGEIFS(F2:F51,B2:B51,"实验结果类",K2:K51,FALSE)</f>
        <v>1</v>
      </c>
      <c r="G56" s="2">
        <f>AVERAGEIFS(G2:G51,B2:B51,"实验结果类",K2:K51,FALSE)</f>
        <v>1</v>
      </c>
      <c r="H56" s="2">
        <f>AVERAGEIFS(H2:H51,B2:B51,"实验结果类",K2:K51,FALSE)</f>
        <v>1</v>
      </c>
      <c r="I56" s="4">
        <f>AVERAGEIFS(I2:I51,B2:B51,"实验结果类",K2:K51,FALSE)</f>
        <v>0.95454545454545459</v>
      </c>
      <c r="J56" s="2">
        <f>AVERAGEIF(B2:B51,"实验结果类",J2:J51)</f>
        <v>0.96972727272727266</v>
      </c>
      <c r="L56" s="2">
        <f>AVERAGEIF(B2:B51,"实验结果类",L2:L51)</f>
        <v>2.0909090909090908</v>
      </c>
      <c r="M56" s="2">
        <f>AVERAGEIF(B2:B51,"实验结果类",M2:M51)</f>
        <v>0</v>
      </c>
      <c r="N56" s="2">
        <f>AVERAGEIF(B2:B51,"实验结果类",N2:N51)</f>
        <v>9.0909090909090912E-2</v>
      </c>
    </row>
    <row r="57" spans="1:15" ht="28" x14ac:dyDescent="0.25">
      <c r="A57" s="2" t="s">
        <v>117</v>
      </c>
      <c r="B57" s="2" t="s">
        <v>86</v>
      </c>
      <c r="E57" s="2">
        <f>AVERAGEIFS(E2:E51,B2:B51,"跨论文比较类",K2:K51,FALSE)</f>
        <v>0.5</v>
      </c>
      <c r="F57" s="2">
        <f>AVERAGEIFS(F2:F51,B2:B51,"跨论文比较类",K2:K51,FALSE)</f>
        <v>0.625</v>
      </c>
      <c r="G57" s="2">
        <f>AVERAGEIFS(G2:G51,B2:B51,"跨论文比较类",K2:K51,FALSE)</f>
        <v>0.875</v>
      </c>
      <c r="H57" s="2">
        <f>AVERAGEIFS(H2:H51,B2:B51,"跨论文比较类",K2:K51,FALSE)</f>
        <v>0.61875000000000002</v>
      </c>
      <c r="I57" s="4">
        <f>AVERAGEIFS(I2:I51,B2:B51,"跨论文比较类",K2:K51,FALSE)</f>
        <v>0.64587499999999998</v>
      </c>
      <c r="J57" s="2">
        <f>AVERAGEIF(B2:B51,"跨论文比较类",J2:J51)</f>
        <v>0.78637499999999994</v>
      </c>
      <c r="L57" s="2">
        <f>AVERAGEIF(B2:B51,"跨论文比较类",L2:L51)</f>
        <v>2.25</v>
      </c>
      <c r="M57" s="2">
        <f>AVERAGEIF(B2:B51,"跨论文比较类",M2:M51)</f>
        <v>0.125</v>
      </c>
      <c r="N57" s="2">
        <f>AVERAGEIF(B2:B51,"跨论文比较类",N2:N51)</f>
        <v>1.25</v>
      </c>
    </row>
    <row r="58" spans="1:15" ht="28" x14ac:dyDescent="0.25">
      <c r="A58" s="2" t="s">
        <v>118</v>
      </c>
      <c r="B58" s="2" t="s">
        <v>103</v>
      </c>
      <c r="E58" s="2" t="e">
        <f>AVERAGEIFS(E2:E51,B2:B51,"不可回答类",K2:K51,FALSE)</f>
        <v>#DIV/0!</v>
      </c>
      <c r="F58" s="2" t="e">
        <f>AVERAGEIFS(F2:F51,B2:B51,"不可回答类",K2:K51,FALSE)</f>
        <v>#DIV/0!</v>
      </c>
      <c r="G58" s="2" t="e">
        <f>AVERAGEIFS(G2:G51,B2:B51,"不可回答类",K2:K51,FALSE)</f>
        <v>#DIV/0!</v>
      </c>
      <c r="H58" s="2" t="e">
        <f>AVERAGEIFS(H2:H51,B2:B51,"不可回答类",K2:K51,FALSE)</f>
        <v>#DIV/0!</v>
      </c>
      <c r="I58" s="4" t="e">
        <f>AVERAGEIFS(I2:I51,B2:B51,"不可回答类",K2:K51,FALSE)</f>
        <v>#DIV/0!</v>
      </c>
      <c r="J58" s="2">
        <f>AVERAGEIF(B2:B51,"不可回答类",J2:J51)</f>
        <v>1</v>
      </c>
      <c r="L58" s="2">
        <f>AVERAGEIF(B2:B51,"不可回答类",L2:L51)</f>
        <v>1</v>
      </c>
      <c r="M58" s="2">
        <f>AVERAGEIF(B2:B51,"不可回答类",M2:M51)</f>
        <v>0</v>
      </c>
      <c r="N58" s="2">
        <f>AVERAGEIF(B2:B51,"不可回答类",N2:N51)</f>
        <v>0</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家熙 刘</cp:lastModifiedBy>
  <dcterms:created xsi:type="dcterms:W3CDTF">2026-06-03T12:54:32Z</dcterms:created>
  <dcterms:modified xsi:type="dcterms:W3CDTF">2026-06-10T13:28:37Z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85282645-e784-4acb-9c34-d89654e24061</vt:lpwstr>
  </property>
</Properties>
</file>