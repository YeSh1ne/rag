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rag_project\code\experiment\"/>
    </mc:Choice>
  </mc:AlternateContent>
  <xr:revisionPtr revIDLastSave="0" documentId="13_ncr:1_{34955491-3FB7-4433-B3D2-4F389C2365E3}"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1" l="1"/>
  <c r="M58" i="1"/>
  <c r="L58" i="1"/>
  <c r="J58" i="1"/>
  <c r="I58" i="1"/>
  <c r="H58" i="1"/>
  <c r="G58" i="1"/>
  <c r="F58" i="1"/>
  <c r="E58" i="1"/>
  <c r="N57" i="1"/>
  <c r="M57" i="1"/>
  <c r="L57" i="1"/>
  <c r="J57" i="1"/>
  <c r="I57" i="1"/>
  <c r="H57" i="1"/>
  <c r="G57" i="1"/>
  <c r="F57" i="1"/>
  <c r="E57" i="1"/>
  <c r="N56" i="1"/>
  <c r="M56" i="1"/>
  <c r="L56" i="1"/>
  <c r="J56" i="1"/>
  <c r="I56" i="1"/>
  <c r="H56" i="1"/>
  <c r="G56" i="1"/>
  <c r="F56" i="1"/>
  <c r="E56" i="1"/>
  <c r="N55" i="1"/>
  <c r="M55" i="1"/>
  <c r="L55" i="1"/>
  <c r="J55" i="1"/>
  <c r="I55" i="1"/>
  <c r="H55" i="1"/>
  <c r="G55" i="1"/>
  <c r="F55" i="1"/>
  <c r="E55" i="1"/>
  <c r="N54" i="1"/>
  <c r="M54" i="1"/>
  <c r="L54" i="1"/>
  <c r="J54" i="1"/>
  <c r="I54" i="1"/>
  <c r="H54" i="1"/>
  <c r="G54" i="1"/>
  <c r="F54" i="1"/>
  <c r="E54" i="1"/>
  <c r="N53" i="1"/>
  <c r="M53" i="1"/>
  <c r="L53" i="1"/>
  <c r="J53" i="1"/>
  <c r="I53" i="1"/>
  <c r="H53" i="1"/>
  <c r="G53" i="1"/>
  <c r="F53" i="1"/>
  <c r="E53" i="1"/>
</calcChain>
</file>

<file path=xl/sharedStrings.xml><?xml version="1.0" encoding="utf-8"?>
<sst xmlns="http://schemas.openxmlformats.org/spreadsheetml/2006/main" count="226" uniqueCount="162">
  <si>
    <t>question</t>
  </si>
  <si>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</si>
  <si>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</si>
  <si>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</si>
  <si>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</si>
  <si>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</si>
  <si>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</si>
  <si>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</si>
  <si>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</si>
  <si>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</si>
  <si>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</si>
  <si>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</si>
  <si>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</si>
  <si>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</si>
  <si>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</si>
  <si>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scaling分为哪三个主要方法？</t>
  </si>
  <si>
    <t>定义类</t>
  </si>
  <si>
    <t>作者将post-training scaling分为三个主要方法：Supervised Fine-tuning (SFT), Reinforcement Learning (RLxF), and Test-time Compute (TTC).</t>
  </si>
  <si>
    <t>在SafeRAG中"silver noise"的定义是什么？</t>
  </si>
  <si>
    <t>首先，我们定义了“银色噪声”，它指的是仅部分包含答案的证据文本。此类噪声能够绕过大多数安全过滤机制，从而削弱 RAG 的多样性。</t>
  </si>
  <si>
    <t>RAG噪声被分为哪两类？</t>
  </si>
  <si>
    <t>RAG噪声被分为有益噪声和有害噪声。</t>
  </si>
  <si>
    <t>什么是Ref-Long基准？它评估的是长上下文语言模型的什么能力？</t>
  </si>
  <si>
    <t>Ref-Long是一个专门设计用于评估长上下文语言模型（LCLMs）长上下文引用能力的基准。它要求LCLMs不仅要在给定文档中识别特定关键词，还要找出引用该关键词的文档索引，而不是其他相关但不匹配的文档。</t>
  </si>
  <si>
    <t xml:space="preserve"> 什么是SYNQA方法？</t>
  </si>
  <si>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</si>
  <si>
    <t>什么是Agentic Long-Context Understanding (AgenticLU)框架？</t>
  </si>
  <si>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</si>
  <si>
    <t>什么是Agentic Reasoning框架?</t>
  </si>
  <si>
    <t>Agentic Reasoning是一个通过集成外部工具使用代理来增强大型语言模型推理的框架。</t>
  </si>
  <si>
    <t>REAL-MM-RAG 基准测试旨在解决现实世界检索的四个关键属性是什么？</t>
  </si>
  <si>
    <t xml:space="preserve"> REAL-MM-RAG基准测试的四个关键属性是：(i) 多模态文档，(ii) 增强的难度，(iii) 真实的RAG查询，(iv) 准确的标注。</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</si>
  <si>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</si>
  <si>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</si>
  <si>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</si>
  <si>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</si>
  <si>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 xml:space="preserve"> LongBench v2基准测试包含多少个问题？上下文长度范围是多少？</t>
  </si>
  <si>
    <t>LongBench v2包含503个具有挑战性的多项选择题，上下文长度范围从8,000到200万个单词。</t>
  </si>
  <si>
    <t>RHIO框架的三个主要组成部分是什么？</t>
  </si>
  <si>
    <t>RHIO框架包含三个主要组件：1.不忠实数据增强, 2.忠实度感知调优, 3.自诱导解码</t>
  </si>
  <si>
    <t>在How to Train Long-Context Language Models中的监督微调（SFT）阶段，论文作者发现使用哪种类型的数据集能够在长上下文任务上取得最佳性能？</t>
  </si>
  <si>
    <t>方法细节类</t>
  </si>
  <si>
    <t>作者发现，仅使用标准的、短上下文的指令数据集（如 UltraChat）进行微调，就能在长上下文任务上取得最佳效果。</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</si>
  <si>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</si>
  <si>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</si>
  <si>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LongRefiner 在推理时如何降低在线延迟？</t>
  </si>
  <si>
    <t>将推理分为离线阶段和在线阶段。离线阶段完成文档结构化任务，在线阶段仅处理用户查询分析和自适应精炼（输入输出仅数百个 tokens），整体延迟约为标准设置的 25%。</t>
  </si>
  <si>
    <t>DRAG框架如何保护用户隐私？请描述其隐私保护机制。</t>
  </si>
  <si>
    <t>DRAG通过传输去标识化的查询和结构化知识而不是完整响应来保护用户隐私。这样可以避免传输完整的用户查询和敏感信息。</t>
  </si>
  <si>
    <t>简述 Think&amp; Cite 框架中 SG-MCTS 的工作流程及其步骤。</t>
  </si>
  <si>
    <t>SG-MCTS利用LLMs的自反思能力来推理MCTS的中间状态，以指导树扩展过程。在每次迭代中，SG-MCTS 遵循四个步骤，即选择、反思引导的扩展、评估和反向传播。</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</si>
  <si>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</si>
  <si>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</si>
  <si>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Meta-Bench基准测试中，α参数的最优范围是多少？这个参数的作用是什么？</t>
  </si>
  <si>
    <t>α参数的最优范围在0.65到0.8之间。这个参数用于平衡工具描述和参数描述在工具检索中的权重。</t>
  </si>
  <si>
    <t>CypherBench 通过将 RDF 图转换为多个领域特定的属性图（domain-specific property graphs）来实现这一过程，并使用 Cypher 语言对其进行查询。</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</si>
  <si>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</si>
  <si>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</si>
  <si>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QAEncoder如何解决文档-查询差距问题？</t>
  </si>
  <si>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</si>
  <si>
    <t>在 HALOGEN 的文本简化任务中，如何验证模型生成的简化文本是否忠实于原文？</t>
  </si>
  <si>
    <t>先用 GPT-3.5-turbo 将简化文本分解为独立的原子事实，再用 Llama-2-70B-chat 判断每个原子事实是否被原文蕴含。</t>
  </si>
  <si>
    <t>在"CiteEval"论文中，GPT-4o和Llama-3-70B在Cited scenario和Full scenario下的表现有何差异？</t>
  </si>
  <si>
    <t>实验结果类</t>
  </si>
  <si>
    <t>在Cited scenario下，GPT-4o表现最佳，Llama-3-70B与GPT-4o-mini相当；在Full scenario下，Llama-3-70B超越GPT-4o，取得最佳性能。</t>
  </si>
  <si>
    <t>"FaithfulRAG"在FaithEval数据集上使用Mistral-7B作为backbone时的准确率是多少？相比最强基线提高了多少？</t>
  </si>
  <si>
    <t>81.7%，比最强基线(KRE的73.2%)提高了8.5%。</t>
  </si>
  <si>
    <t>RankCoT 相对于 vanilla RAG 模型的表现如何？这说明了什么？</t>
  </si>
  <si>
    <t>RankCoT 相比 vanilla RAG 模型有 2.5% 的提升，表明它在提供更有意义的细化方面有效，有助于 LLM 更好地回答问题。</t>
  </si>
  <si>
    <t>在 HALoGEN 基准测试中，表现最好的 LLM 生成事实的幻觉率范围是多少？</t>
  </si>
  <si>
    <t>实验发现，即使是表现最好的 LLM，其生成事实的幻觉率也在 3% 到 86% 之间，具体数值取决于所属领域。</t>
  </si>
  <si>
    <t xml:space="preserve"> 在LongBench v2基准测试中，人类专家在15分钟时间限制下的准确率是多少？</t>
  </si>
  <si>
    <t>人类专家在15分钟时间限制下的准确率为53.7%。</t>
  </si>
  <si>
    <t>AGENTSTAR方法在WebShop、ALFWorld和BabyAI任务上与GPT-4-Turbo相比有何优势？</t>
  </si>
  <si>
    <t>AGENTSTAR 在这三个任务上的性能全面超越了 GPT-4-Turbo。其中在 WebShop 上的提升最为显著（远超 GPT-4-Turbo 61 个百分点），在 ALFWorld 和 BabyAI 上也分别实现了大幅领先（超过 GPT-4-Turbo 20.5 和 9.87 个百分点）。</t>
  </si>
  <si>
    <t>在Humanity's Last Exam数据集上，Agentic Reasoning与DeepSeek-R1结合的性能提升是多少？与OpenAI Deep Research的差距如何变化？</t>
  </si>
  <si>
    <t>在Humanity's Last Exam数据集上，Agentic Reasoning与DeepSeek-R1结合达到了23.8%的准确率，比基础模型提升了14.4%，与专有的OpenAI Deep Research的差距缩小到仅2.8%。</t>
  </si>
  <si>
    <t>在GAIA基准测试中，Agentic Reasoning在不同级别任务上的表现如何？</t>
  </si>
  <si>
    <t>在GAIA基准测试中，Agentic Reasoning在Level 1和Level 2任务上超越了OpenAI的Deep Research，在Level 3任务上将差距缩小到2.26%。</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</si>
  <si>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</si>
  <si>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</si>
  <si>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</si>
  <si>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</si>
  <si>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RAGEval 提出的自动评估指标与人工评估的一致性如何？</t>
  </si>
  <si>
    <t>实验结果表明，RAGEval 的机器自动评估与人工评估在所有指标上均表现出高度一致性。两者之间的最终绝对差异仅为 1.67%。</t>
  </si>
  <si>
    <t>在利用大模型内部知识应对知识冲突时，《Astute RAG》与《FaithfulRAG》各自采用了什么核心机制/模块来提取或生成内部知识？</t>
  </si>
  <si>
    <t>跨论文比较类</t>
  </si>
  <si>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</si>
  <si>
    <t>"UniRAG"和"FaithfulRAG"在处理查询理解方面的核心创新分别是什么？</t>
  </si>
  <si>
    <t>UniRAG提出统一的查询理解框架，集成查询增强和查询编码两个阶段；FaithfulRAG通过自我事实挖掘和自思考模块，在事实级别识别并解决参数化知识与检索上下文之间的冲突，提高语义一致性。</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</si>
  <si>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</si>
  <si>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</si>
  <si>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SYNQA 和 RHIO 分别通过什么方式生成训练数据？这两种数据生成策略在提升模型归因能力上有什么不同？</t>
  </si>
  <si>
    <t>SYNQA：通过 LLM 生成式合成完全受上下文支持的 QA 对（正样本），用于微调小模型的归因能力。
RHIO：通过选择性掩码检索头，让 LLM 自身生成模拟真实错误的不忠实样本（负样本），并与忠实样本进行联合训练。</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</si>
  <si>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</si>
  <si>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</si>
  <si>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Agentic Reasoning 与 AR-MCTS 分别采用什么核心机制来提升复杂推理能力？</t>
  </si>
  <si>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</si>
  <si>
    <t>MAIN‑RAG 与 RAG‑Critic 在提升 RAG 系统可靠性方面分别采用了什么核心方法？</t>
  </si>
  <si>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</si>
  <si>
    <t>在构建可靠的问答（QA）系统时，这QAEncoder与On Synthesizing Data for Context Attribution in Question Answering两篇论文分别侧重于优化系统工作流的哪个阶段？它们各自试图解决的核心痛点是什么？</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</si>
  <si>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</si>
  <si>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这10篇论文中哪一篇提出了名为"RAG-Guard"的安全防护框架？</t>
  </si>
  <si>
    <t>不可回答类</t>
  </si>
  <si>
    <t>无法回答。</t>
  </si>
  <si>
    <t>根据已有信息，无法回答此问题。</t>
  </si>
  <si>
    <t>"ProLong"模型在训练过程中使用了哪种具体的优化器来处理长序列训练的梯度问题？</t>
  </si>
  <si>
    <t>SETR模型在训练时具体的训练时间是多少小时？</t>
  </si>
  <si>
    <t xml:space="preserve"> L-CiteEval基准中使用的NLI模型deberta-base-long-nli的准确率是多少？该模型在哪些具体数据集上进行了训练？</t>
  </si>
  <si>
    <t>论文中是否提到了SYNQA方法在医疗领域的具体应用案例？</t>
  </si>
  <si>
    <t>论文中是否提供了RHIO方法在实时应用场景中的延迟测试数据？</t>
  </si>
  <si>
    <t>Agentic Reasoning框架中使用的Mind-Map agent的具体神经网络架构是什么？</t>
  </si>
  <si>
    <t>在CypherBench基准测试中，每个问题模板具体包含多少个训练样本？</t>
  </si>
  <si>
    <t>【总体平均值】</t>
  </si>
  <si>
    <t>【定义类平均值】</t>
  </si>
  <si>
    <t>【方法细节类平均值】</t>
  </si>
  <si>
    <t>【实验结果类平均值】</t>
  </si>
  <si>
    <t>【跨论文比较类平均值】</t>
  </si>
  <si>
    <t>【不可回答类平均值】</t>
  </si>
  <si>
    <t>作者将post-training scaling分为监督微调（Supervised Fine-tuning）、强化学习（Reinforcement Learning）和测试时计算（Test-time Compute）三个主要方法。
来自: [A Survey of Post-Training Scaling in Large Language Models, 第2页, A Survey of Post-Training Scaling in Large Language Models_chunk_002]</t>
  </si>
  <si>
    <t>Silver noise 是指部分包含答案的证据。
来自: [SafeRAG: Benchmarking Security in Retrieval-Augmented Generation of Large Language Model, 第1页, SafeRAG: Benchmarking Security in Retrieval-Augmented Generation of Large Language Model_chunk_001]</t>
  </si>
  <si>
    <t>RAG噪声被分为有益噪声（beneficial noise）和有害噪声（harmful noise）两类。
来自: [Pandora’s Box or Aladdin’s Lamp: A Comprehensive Analysis Revealing the Role of RAG Noise in Large Language Models, 第2页, Pandora’s Box or Aladdin’s Lamp: A Comprehensive Analysis Revealing the Role of RAG Noise in Large Language Models_chunk_001]
来自: [Pandora’s Box or Aladdin’s Lamp: A Comprehensive Analysis Revealing the Role of RAG Noise in Large Language Models, 第2页, Pandora’s Box or Aladdin’s Lamp: A Comprehensive Analysis Revealing the Role of RAG Noise in Large Language Models_chunk_002]</t>
  </si>
  <si>
    <t>Ref-Long是一个用于评估长上下文语言模型（LCLMs）长上下文引用能力的基准，它要求模型不仅检索到特定关键词，还要识别出长文档中哪些部分（即文档索引）引用了该关键词。
来自: [Ref-Long: Benchmarking the Long-context Referencing Capability of Long-context Language Models, 第1页, Ref-Long: Benchmarking the Long-context Referencing Capability of Long-context Language Models_chunk_000]
来自: [Ref-Long: Benchmarking the Long-context Referencing Capability of Long-context Language Models, 第2页, Ref-Long: Benchmarking the Long-context Referencing Capability of Long-context Language Models_chunk_001]</t>
  </si>
  <si>
    <t>SYNQA是一种生成式合成上下文归因数据的方法，它基于选定的上下文句子，让大语言模型生成完全由这些句子支持的问题-答案对，从而确保清晰的归因路径。
来自: [On Synthesizing Data for Context Attribution in Question Answering, 第2页, On Synthesizing Data for Context Attribution in Question Answering_chunk_001]
来自: [On Synthesizing Data for Context Attribution in Question Answering, 第1页, On Synthesizing Data for Context Attribution in Question Answering_chunk_000]</t>
  </si>
  <si>
    <t>AgenticLU是一个通过将目标自我澄清与上下文基础整合到代理工作流中来增强大型语言模型对长上下文查询理解的框架。
来自: [Self-Taught Agentic Long-Context Understanding, 第1页, Self-Taught Agentic Long-Context Understanding_chunk_000]</t>
  </si>
  <si>
    <t>Agentic Reasoning是一个通过集成外部基于LLM的代理工具（如网络搜索、编码和思维导图）来增强推理的框架。
来自: [Agentic Reasoning: A Streamlined Framework for Enhancing LLM Reasoning with Agentic Tools, 第1页, Agentic Reasoning: A Streamlined Framework for Enhancing LLM Reasoning with Agentic Tools_chunk_001]</t>
  </si>
  <si>
    <t>在Humanity's Last Exam数据集上，Agentic Reasoning与DeepSeek-R1结合后，准确率从9.4%提升至23.8%，提升了14.4个百分点。与OpenAI Deep Research的差距从17.2个百分点缩小至2.8个百分点。
来自: [Agentic Reasoning: A Streamlined Framework for Enhancing LLM Reasoning with Agentic Tools, 第1页, Agentic Reasoning: A Streamlined Framework for Enhancing LLM Reasoning with Agentic Tools_chunk_000]</t>
  </si>
  <si>
    <t>在GAIA基准测试中，Agentic Reasoning 在 Level 1 任务上达到 74.36%，Level 2 为 69.21%，Level 3 为 45.46%，平均准确率为 66.13%。
来自: [Agentic Reasoning: A Streamlined Framework for Enhancing LLM Reasoning with Agentic Tools, 第5页, Agentic Reasoning: A Streamlined Framework for Enhancing LLM Reasoning with Agentic Tools_chunk_004]</t>
  </si>
  <si>
    <t>四个关键属性是：(i) 多模态文档，(ii) 增强难度，(iii) 现实RAG查询，(iv) 准确标注。
来自: [REAL-MM-RAG:AReal-World Multi-Modal Retrieval Benchmark, 第1页, REAL-MM-RAG:AReal-World Multi-Modal Retrieval Benchmark_chunk_000]</t>
  </si>
  <si>
    <t>ASTUTE RAG是一种新颖的检索增强生成方法，旨在应对不完美检索增强，同时保留可靠检索时的RAG基础效应。它通过区分LLM内部知识与外部检索段落中的一致和冲突信息，评估其可靠性，并确保可信信息的适当整合。其用途是提高RAG系统的鲁棒性和可信度，特别是在检索结果不可靠或存在知识冲突的情况下，能够有效缓解不完美检索的负面影响，并在最坏情况下保持性能。
来自: [ASTUTE RAG: Overcoming Imperfect Retrieval Augmentation and Knowledge Conflicts for Large Language Models, 第2页, ASTUTE RAG: Overcoming Imperfect Retrieval Augmentation and Knowledge Conflicts for Large Language Models_chunk_002]
来自: [ASTUTE RAG: Overcoming Imperfect Retrieval Augmentation and Knowledge Conflicts for Large Language Models, 第8页, ASTUTE RAG: Overcoming Imperfect Retrieval Augmentation and Knowledge Conflicts for Large Language Models_chunk_009]</t>
  </si>
  <si>
    <t>在ASTUTE RAG中，知识整合（knowledge consolidation）过程包含三个主要步骤：识别各段落间的一致信息、检测各组一致信息之间的冲突信息、以及过滤掉与查询无关的信息。
来自: [ASTUTE RAG: Overcoming Imperfect Retrieval Augmentation and Knowledge Conflicts for Large Language Models, 第5页, ASTUTE RAG: Overcoming Imperfect Retrieval Augmentation and Knowledge Conflicts for Large Language Models_chunk_005]</t>
  </si>
  <si>
    <t>L-CiteEval是一个开箱即用的评估套件，包含多任务长上下文基准和相应的评估流水线。
来自: [L-CiteEval: A Suite for Evaluating Fidelity of Long-context Models, 第8页, L-CiteEval: A Suite for Evaluating Fidelity of Long-context Models_chunk_013]</t>
  </si>
  <si>
    <t>LongBench v2 基准测试包含 503 个问题，上下文长度范围从 8k 到 2M 词。
来自: [LongBench v2: Towards Deeper Understanding and Reasoning on Realistic Long-context Multitasks, 第1页, LongBench v2: Towards Deeper Understanding and Reasoning on Realistic Long-context Multitasks_chunk_000]</t>
  </si>
  <si>
    <t>人类专家在15分钟时间限制下的准确率为53.7%。
来自: [LongBench v2: Towards Deeper Understanding and Reasoning on Realistic Long-context Multitasks, 第1页, LongBench v2: Towards Deeper Understanding and Reasoning on Realistic Long-context Multitasks_chunk_000]
来自: [LongBench v2: Towards Deeper Understanding and Reasoning on Realistic Long-context Multitasks, 第7页, LongBench v2: Towards Deeper Understanding and Reasoning on Realistic Long-context Multitasks_chunk_010]</t>
  </si>
  <si>
    <t>RHIO框架的三个主要组成部分是：1) 通过选择性屏蔽检索头来增强不忠实样本；2) 将这些样本纳入联合训练，使模型基于控制令牌区分忠实与不忠实输出；3) 利用控制令牌自我诱导对比输出，并通过对比解码放大差异。
来自: [Improving Contextual Faithfulness of Large Language Models via Retrieval Heads-Induced Optimization, 第1页, Improving Contextual Faithfulness of Large Language Models via Retrieval Heads-Induced Optimization_chunk_000]</t>
  </si>
  <si>
    <t>SYNQA 通过生成式方法合成训练数据：利用大语言模型（LLM）从维基百科文章中生成问答对，并基于上下文句子构建归因链接，同时通过语义相似度挖掘干扰文章，形成包含句子级归因标签的多样化训练样本。  
RHIO 则通过掩码检索头（retrieval heads）诱导模型产生不忠实（unfaithful）的生成样本，将这些负样本与忠实样本一起用于 faithfulness-aware 微调，从而生成用于对比学习的训练数据。
在提升模型归因能力上，SYNQA 直接训练小型模型进行句子级别的上下文归因，使其能够更精确、更完整地识别支持答案的证据，从而在归因任务上获得更高的精确度和召回率，甚至超越更大的零样本 LLM。  
RHIO 则通过让模型学习区分忠实与不忠实的生成内容，增强模型对上下文忠实性的感知，并在解码时采用自诱导解码（self-induced decoding）策略，从而提升生成内容本身的忠实性，间接保障归因的可靠性。两者的核心差异在于：SYNQA 聚焦于外部证据的归因能力，而 RHIO 聚焦于模型内部生成行为的忠实性。
来自: [On Synthesizing Data for Context Attribution in Question Answering, 第2页, On Synthesizing Data for Context Attribution in Question Answering_chunk_002]
来自: [On Synthesizing Data for Context Attribution in Question Answering, 第5页, On Synthesizing Data for Context Attribution in Question Answering_chunk_004]
来自: [Improving Contextual Faithfulness of Large Language Models via Retrieval Heads-Induced Optimization, 第7页, Improving Contextual Faithfulness of Large Language Models via Retrieval Heads-Induced Optimization_chunk_008]
来自: [On Synthesizing Data for Context Attribution in Question Answering, 第6页, On Synthesizing Data for Context Attribution in Question Answering_chunk_007]</t>
  </si>
  <si>
    <t>在监督微调（SFT）阶段，论文作者发现仅使用短指令数据集（short instruction datasets）或标准短上下文指令数据，就能在长上下文任务上取得最佳性能。
来自: [How to Train Long-Context Language Models (Effectively), 第1页, How to Train Long-Context Language Models (Effectively)_chunk_000]
来自: [How to Train Long-Context Language Models (Effectively), 第22页, How to Train Long-Context Language Models (Effectively)_chunk_021]
来自: [How to Train Long-Context Language Models (Effectively), 第8页, How to Train Long-Context Language Models (Effectively)_chunk_011]</t>
  </si>
  <si>
    <t>LongRefiner 将推理过程拆分为离线和在线两个阶段：离线阶段预先对语料库中的文档执行层次化文档结构化任务；在线阶段仅需进行用户查询分析和自适应精炼，由于在线阶段只处理数百个输入 token 并生成数十个输出 token，整体在线延迟仅为标准设置的约 25%。
来自: [Hierarchical Document Refinement for Long-context Retrieval-augmented Generation, 第6页, Hierarchical Document Refinement for Long-context Retrieval-augmented Generation_chunk_006]
来自: [Hierarchical Document Refinement for Long-context Retrieval-augmented Generation, 第15页, Hierarchical Document Refinement for Long-context Retrieval-augmented Generation_chunk_013]</t>
  </si>
  <si>
    <t>DRAG框架通过本地学生模型（SLM）对用户查询进行改写，剥离其中的敏感信息，然后将去标识化的查询发送至云端大型教师模型。教师模型仅返回相关的证据和知识图谱，而非直接生成答案。本地学生模型再基于这些结构化知识生成最终回答，从而避免将原始隐私数据直接暴露给云端，实现隐私保护。
来自: [DRAG: Distilling RAG for SLMs from LLMs to Transfer Knowledge and Mitigate Hallucination via Evidence and Graph-based Distillation, 第4页, DRAG: Distilling RAG for SLMs from LLMs to Transfer Knowledge and Mitigate Hallucination via Evidence and Graph-based Distillation_chunk_004]
来自: [DRAG: Distilling RAG for SLMs from LLMs to Transfer Knowledge and Mitigate Hallucination via Evidence and Graph-based Distillation, 第5页, DRAG: Distilling RAG for SLMs from LLMs to Transfer Knowledge and Mitigate Hallucination via Evidence and Graph-based Distillation_chunk_005]
来自: [DRAG: Distilling RAG for SLMs from LLMs to Transfer Knowledge and Mitigate Hallucination via Evidence and Graph-based Distillation, 第14页, DRAG: Distilling RAG for SLMs from LLMs to Transfer Knowledge and Mitigate Hallucination via Evidence and Graph-based Distillation_chunk_017]</t>
  </si>
  <si>
    <t>SG-MCTS 的工作流程包含四个步骤：选择、反思引导的扩展、评估和反向传播。选择阶段利用 UCT 算法从搜索树中选出最优节点；反思引导的扩展阶段通过思考-表达-引用过程生成后继节点，并引入反思步骤来修正初始查询以获取更相关证据；评估阶段使用进度奖励模型计算生成进度奖励和归因进度奖励的总和；反向传播阶段将评估结果回传至祖先节点。
来自: [Think&amp;Cite: Improving Attributed Text Generation with Self-Guided Tree Search and Progress Reward Modeling, 第3页, Think&amp;Cite: Improving Attributed Text Generation with Self-Guided Tree Search and Progress Reward Modeling_chunk_002]
来自: [Think&amp;Cite: Improving Attributed Text Generation with Self-Guided Tree Search and Progress Reward Modeling, 第4页, Think&amp;Cite: Improving Attributed Text Generation with Self-Guided Tree Search and Progress Reward Modeling_chunk_003]</t>
  </si>
  <si>
    <t>SETR 的段落选择提示引导的关键过程包含三个步骤：第一步，枚举回答问题所需的关键信息需求；第二步，为每个信息需求找到包含相关信息的段落；第三步，选择一组段落，这些段落共同提供最全面和多样化的信息覆盖，以有效回答问题。
来自: [Shifting from Ranking to Set Selection for Retrieval Augmented Generation, 第3页, Shifting from Ranking to Set Selection for Retrieval Augmented Generation_chunk_003]</t>
  </si>
  <si>
    <t>根据提供的论文片段，α参数是Meta-Tool算法中用于计算工具相似度的权重，具体用于平衡工具描述相似度和参数描述相似度。在Meta-Tool中，α被设置为0.5。然而，片段中并未提及α参数在Meta-Bench基准测试中的最优范围，只给出了固定值0.5。
来自: Meta-Tool: Unleash Open-World Function Calling Capabilities of General-Purpose Large Language Models, 第14页, 2025.acl-long.1481_Meta-Tool_chunk_013]</t>
  </si>
  <si>
    <t>CypherBench 通过两个主要步骤从 RDF 图生成领域特定属性图：首先，手动策划领域特定的属性图模式，并建立从 Wikidata 标识符到该模式的映射；然后，自动 RDF-to-property-graph 转换引擎根据策划的模式发出 SPARQL 查询，从 Wikidata 获取所有符合模式的实体和关系，并执行数据类型转换、单位标准化、排名过滤等处理，最终聚合成属性图。
来自: [CYPHERBENCH: Towards Precise Retrieval over Full-scale Modern Knowledge Graphs in the LLM Era 第4页, 2025.acl-long.438_CypherBench_chunk_004]</t>
  </si>
  <si>
    <t>ClinRaGen的三阶段理由蒸馏范式依次为：第一阶段，基于医学笔记的理由蒸馏，仅使用医学笔记训练小语言模型，使其生成诊断及基于笔记的理由；第二阶段，知识注入与时间序列理由蒸馏，引入知识增强注意力模块，使模型能够解释数值化实验室检测数据并生成基于检测的理由；第三阶段，全多模态理由蒸馏，整合医学笔记、实验室检测和结构化领域知识，生成完整的多模态临床理由。
来自: [Knowledge-Augmented Multimodal Clinical Rationale Generation for Disease Diagnosis with Small Language Models, 第3页, Knowledge-Augmented Multimodal Clinical Rationale Generation for Disease Diagnosis with Small Language Models_chunk_003]
来自: [Knowledge-Augmented Multimodal Clinical Rationale Generation for Disease Diagnosis with Small Language Models, 第4页, Knowledge-Augmented Multimodal Clinical Rationale Generation for Disease Diagnosis with Small Language Models_chunk_004]</t>
  </si>
  <si>
    <t>QAEncoder通过生成多样化的潜在查询，并利用蒙特卡洛方法估计这些查询嵌入的期望（聚类中心）作为文档的鲁棒替代表示，从而在嵌入空间中桥接文档与查询之间的语义差距；同时，引入文档指纹策略（如嵌入指纹、文本指纹和混合指纹）重新注入文档的独特身份，以保持文档间的区分度，避免所有表示变得过于相似。
来自: [QAEncoder: Towards Aligned Representation Learning in Question Answering Systems, 第1页, QAEncoder: Towards Aligned Representation Learning in Question Answering Systems_chunk_000]
来自: [QAEncoder: Towards Aligned Representation Learning in Question Answering Systems, 第1页, QAEncoder: Towards Aligned Representation Learning in Question Answering Systems_chunk_001]
来自: [QAEncoder: Towards Aligned Representation Learning in Question Answering Systems, 第4页, QAEncoder: Towards Aligned Representation Learning in Question Answering Systems_chunk_004]</t>
  </si>
  <si>
    <t>On Synthesizing Data for Context Attribution in Question Answering 侧重于优化 QA 系统的上下文归因阶段，即在答案生成后识别哪些上下文句子支持该答案。其核心痛点是 LLMs 容易产生幻觉，导致答案不可信，因此需要高效、句子级的证据归因来提升可信度。QAEncoder 则侧重于优化 QA 系统的检索阶段，通过查询中心的方法弥合文档与查询之间的语义差距。其核心痛点是文档-查询差距导致检索性能下降，影响后续问答的准确性。
来自: [On Synthesizing Data for Context Attribution in Question Answering, 第1页, On Synthesizing Data for Context Attribution in Question Answering_chunk_000]
来自: [QAEncoder: Towards Aligned Representation Learning in Question Answering Systems, 第9页, QAEncoder: Towards Aligned Representation Learning in Question Answering Systems_chunk_013]</t>
  </si>
  <si>
    <t>在文本简化任务中，HALOGEN 采用与摘要任务相同的验证流程：先用 GPT-3.5 将生成的简化文本分解为独立事实，再用 Llama-2-70B 对每个原子事实进行蕴含判断，以验证其是否忠实于原文。
来自: [HALOGEN :FantasticLLMHallucinations and Where to Find Them, 第3页, HALOGEN :FantasticLLMHallucinations and Where to Find Them_chunk_003]</t>
  </si>
  <si>
    <t>在HALoGEN基准测试中，表现最好的LLM生成事实的幻觉率范围在3%到86%之间，具体取决于领域。
来自: [HALOGEN :FantasticLLMHallucinations and Where to Find Them, 第5页, HALOGEN :FantasticLLMHallucinations and Where to Find Them_chunk_005]</t>
  </si>
  <si>
    <t>在Cited scenario下，GPT-4o的表现优于Llama-3-70B（评分0.949 vs 0.926）；而在Full scenario下，Llama-3-70B的表现反超GPT-4o（评分0.909 vs 0.898）。论文分析指出，GPT-4o倾向于生成更长的回复，而回复长度与缺失引用比例呈强正相关，这可能是导致其在Full scenario下评分较低的原因。
来自: [CiteEval: Principle-Driven Citation Evaluation for Source Attribution, 第7页, CiteEval: Principle-Driven Citation Evaluation for Source Attribution_chunk_007]
来自: [CiteEval: Principle-Driven Citation Evaluation for Source Attribution, 第7页, CiteEval: Principle-Driven Citation Evaluation for Source Attribution_chunk_008]</t>
  </si>
  <si>
    <t>FaithfulRAG 在 FaithEval 数据集上使用 Mistral-7B 作为 backbone 时准确率为 81.7%，相比最强基线（KRE 的 73.2%）提高了 8.5%。
来自: [FaithfulRAG: Fact-Level Conflict Modeling for Context-Faithful Retrieval-Augmented Generation, 第7页, FaithfulRAG: Fact-Level Conflict Modeling for Context-Faithful Retrieval-Augmented Generation_chunk_009]</t>
  </si>
  <si>
    <t>FaithfulRAG 通过“Self-Fact Mining”模块提取内部知识，该模块包含自我知识提取、自我上下文生成和自我事实提取三个步骤，将大模型的参数化知识外部化为细粒度的事实断言。Astute RAG 则采用自适应内部知识生成机制，通过提示大模型自适应地生成内部知识段落，以获取最准确、相关且全面的内部知识集合。
来自: [FaithfulRAG: Fact-Level Conflict Modeling for Context-Faithful Retrieval-Augmented Generation, 第3页, FaithfulRAG: Fact-Level Conflict Modeling for Context-Faithful Retrieval-Augmented Generation_chunk_004]
来自: [ASTUTE RAG: Overcoming Imperfect Retrieval Augmentation and Knowledge Conflicts for Large Language Models, 第4页, ASTUTE RAG: Overcoming Imperfect Retrieval Augmentation and Knowledge Conflicts for Large Language Models_chunk_004]</t>
  </si>
  <si>
    <t>RankCoT 在多个数据集和不同规模的 RAG 系统中均优于 vanilla RAG 模型。例如，在 Qwen2.5-14B-Instruct 作为生成模型时，RankCoT 将平均准确率从 42.84 提升至 46.93；在 MiniCPM3-4B 的 RAG 系统上，RankCoT 带来了 7.6% 的提升。总体而言，RankCoT 相比 vanilla RAG 实现了约 2.5% 的绝对提升。这说明 RankCoT 能够有效提炼检索到的知识，生成更精炼的思维链，从而帮助大语言模型更准确地回答问题，且其有效性在不同规模的 RAG 配置下保持稳定。
来自: [RankCoT: Refining Knowledge for Retrieval-Augmented Generation through Ranking Chain-of-Thoughts, 第6页, RankCoT: Refining Knowledge for Retrieval-Augmented Generation through Ranking Chain-of-Thoughts_chunk_008]
来自: [RankCoT: Refining Knowledge for Retrieval-Augmented Generation through Ranking Chain-of-Thoughts, 第13页, RankCoT: Refining Knowledge for Retrieval-Augmented Generation through Ranking Chain-of-Thoughts_chunk_013]</t>
  </si>
  <si>
    <t>AGENTSTAR在WebShop、ALFWorld和BabyAI任务上均显著优于GPT-4-Turbo，分别高出61.00、20.50和9.87个百分点。
来自: [AGENTGYM: Evaluating and Training Large Language Model-based Agents across Diverse Environment, 第7页, AGENTGYM: Evaluating and Training Large Language Model-based Agents across Diverse Environment_chunk_009]</t>
  </si>
  <si>
    <t>LongBench v2 与 AGENTGYM 的应用场景存在本质区别：  
- **LongBench v2** 是一个长上下文理解基准，专注于评估大语言模型在长文本（如单文档/多文档问答、长对话历史、代码仓库等）上的深度理解和推理能力，其任务形式为多项选择题，不涉及多轮交互或环境探索。  
- **AGENTGYM** 是一个面向 LLM-based 智能体的交互式框架，覆盖 7 个真实场景、14 个环境和 89 个任务，支持多轮决策、实时反馈和探索学习，旨在用于智能体的评估与自我改进，而非单纯的文本理解测试。
来自: [LongBench v2: Towards Deeper Understanding and Reasoning on Realistic Long-context Multitasks, 第2页, LongBench v2: Towards Deeper Understanding and Reasoning on Realistic Long-context Multitasks_chunk_001]  
来自: [AGENTGYM: Evaluating and Training Large Language Model-based Agents across Diverse Environment, 第1页, AGENTGYM: Evaluating and Training Large Language Model-based Agents across Diverse Environment_chunk_000]</t>
  </si>
  <si>
    <t>人类医生在所有医学专业上的诊断准确率均优于Med-MLLMs。即使是一位平均准确率为57.4%的初级医生，也略高于表现最好的Med-MLLM GPT-4V（准确率54.3%），但GPT-4V的表现已与初级医生相当。此外，Med-MLLMs在不同专业间的表现变异性明显低于人类医生，显示出更均匀的跨专业知识覆盖。
来自: [Asclepius: A Spectrum Evaluation Benchmark for Medical Multi-Modal Large Language Models, 第7页, Asclepius: A Spectrum Evaluation Benchmark for Medical Multi-Modal Large Language Models_chunk_008]
来自: [Asclepius: A Spectrum Evaluation Benchmark for Medical Multi-Modal Large Language Models, 第7页, Asclepius: A Spectrum Evaluation Benchmark for Medical Multi-Modal Large Language Models_chunk_007]</t>
  </si>
  <si>
    <t>在LongDocURL基准测试中，GPT-4o是唯一达到及格标准的模型，得分最高，为64.5分。开源模型整体表现不如闭源模型，其中Qwen2-VL得分30.6，LLaVA-OneVision得分22.0和25.0，其他开源模型得分均低于20。
来自: [LongDocURL: a Comprehensive Multimodal Long Document Benchmark Integrating Understanding, Reasoning, and Locating, 第6页, LongDocURL: a Comprehensive Multimodal Long Document Benchmark Integrating Understanding, Reasoning, and Locating_chunk_006]</t>
  </si>
  <si>
    <t>RAGEval 提出的三个自动评估指标（Completeness、Hallucination、Irrelevance）与人工评估具有高度一致性。在人类评估实验中，Completeness 的 Spearman 相关系数为 0.8536，Pearson 相关系数为 0.8549；Irrelevancy 的 Spearman 相关系数为 0.7589，Pearson 相关系数为 0.7568；Hallucination 的 Spearman 相关系数为 0.7983，Pearson 相关系数为 0.7851，所有结果均达到统计显著水平（p &lt; 0.0001）。
来自: [RAGEval: Scenario Specific RAG Evaluation Dataset Generation Framework, 第12页, RAGEval: Scenario Specific RAG Evaluation Dataset Generation Framework_chunk_011]</t>
  </si>
  <si>
    <t>UniRAG 的核心创新在于将查询增强与查询编码统一到一个仅解码器的大语言模型中，实现端到端的查询理解，并能自适应地选择最合适的查询增强策略。  
FaithfulRAG 的核心创新是通过自我事实挖掘模块将大语言模型对问题的理解外部化为细粒度的事实级知识，从而在生成阶段精准定位并动态解决知识冲突。
来自: [UniRAG: Unified Query Understanding Method for Retrieval Augmented Generation, 第1页, UniRAG: Unified Query Understanding Method for Retrieval Augmented Generation_chunk_001]  
来自: [FaithfulRAG: Fact-Level Conflict Modeling for Context-Faithful Retrieval-Augmented Generation, 第2页, FaithfulRAG: Fact-Level Conflict Modeling for Context-Faithful Retrieval-Augmented Generation_chunk_002]</t>
  </si>
  <si>
    <t>MEMERAG和DragonBall都是用于评估RAG系统的基准，但它们在设计目标和评估维度上存在差异。相同点在于两者都旨在衡量生成答案的质量，并引入了超越传统词汇重叠指标（如ROUGE-L、BLEU）的新评估方法。不同点在于：MEMERAG是一个多语言端到端元评估基准，专注于开发可靠的自动评估器，覆盖5种语言；而DragonBall是RAGEval框架下的场景特定基准，通过自动生成领域特定的数据集来评估RAG系统，主要针对中文和英文。在评估维度上，MEMERAG关注Faithfulness（忠实度，即答案是否基于上下文）和Relevance（相关性，即答案是否与问题相关）；DragonBall则关注Completeness（完整性）、Hallucination（幻觉）和Irrelevance（不相关性），这些指标基于事实关键点来评估事实准确性。
来自: [MEMERAG:AMultilingual End-to-End Meta-Evaluation Benchmark for Retrieval Augmented Generation, 第3页, MEMERAG:AMultilingual End-to-End Meta-Evaluation Benchmark for Retrieval Augmented Generation_chunk_003]
来自: [RAGEval: Scenario Specific RAG Evaluation Dataset Generation Framework, 第2页, RAGEval: Scenario Specific RAG Evaluation Dataset Generation Framework_chunk_001]
来自: [MEMERAG:AMultilingual End-to-End Meta-Evaluation Benchmark for Retrieval Augmented Generation, 第3页, MEMERAG:AMultilingual End-to-End Meta-Evaluation Benchmark for Retrieval Augmented Generation_chunk_003]
来自: [RAGEval: Scenario Specific RAG Evaluation Dataset Generation Framework, 第2页, RAGEval: Scenario Specific RAG Evaluation Dataset Generation Framework_chunk_001]</t>
  </si>
  <si>
    <t>AR-MCTS 通过主动检索（Active Retrieval）与蒙特卡洛树搜索（MCTS）相结合，自动获取高质量分步推理标注，并逐步对齐过程奖励模型（PRM）进行过程级验证。Agentic Reasoning 则通过在推理过程中调用外部工具（如网络搜索、知识图谱、代码执行等）来增强复杂推理能力。
来自: [Progressive Multimodal Reasoning via Active Retrieval, 第1页, Progressive Multimodal Reasoning via Active Retrieval_chunk_000]
来自: [Progressive Multimodal Reasoning via Active Retrieval, 第9页, Progressive Multimodal Reasoning via Active Retrieval_chunk_011]
来自: [Agentic Reasoning: A Streamlined Framework for Enhancing LLM Reasoning with Agentic Tools, 第5页, Agentic Reasoning: A Streamlined Framework for Enhancing LLM Reasoning with Agentic Tools_chunk_004]</t>
  </si>
  <si>
    <t>MAIN-RAG 采用了一种训练无关的多智能体过滤方法，通过多个LLM智能体协作对检索文档进行过滤和评分，并引入自适应阈值机制动态调整相关性阈值，以提升检索精度和系统可靠性。RAG-Critic 则采用了一种批评者引导的智能体工作流，通过构建层次化错误体系并训练错误批评模型，自动提供细粒度错误反馈，进而驱动基于错误的自我修正过程。
来自: [MAIN-RAG: Multi-Agent Filtering Retrieval-Augmented Generation, 第1页, MAIN-RAG: Multi-Agent Filtering Retrieval-Augmented Generation_chunk_001]
来自: [RAG-Critic: Leveraging Automated Critic-Guided Agentic Workflow for Retrieval Augmented Generation, 第1页, RAG-Critic: Leveraging Automated Critic-Guided Agentic Workflow for Retrieval Augmented Generation_chunk_000]</t>
  </si>
  <si>
    <t>CypherBench 提出了什么核心方法来应对 RDF 查询的挑战？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</si>
</sst>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topLeftCell="A21" workbookViewId="0">
      <selection activeCell="R21" sqref="R21"/>
    </sheetView>
  </sheetViews>
  <sheetFormatPr defaultRowHeight="14" x14ac:dyDescent="0.25"/>
  <cols>
    <col min="4" max="4" width="25.453125" customWidth="1"/>
  </cols>
  <sheetData>
    <row r="1" spans="1:15" ht="4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80" x14ac:dyDescent="0.25">
      <c r="A2" s="2" t="s">
        <v>15</v>
      </c>
      <c r="B2" s="2" t="s">
        <v>16</v>
      </c>
      <c r="C2" s="2" t="s">
        <v>17</v>
      </c>
      <c r="D2" s="2" t="s">
        <v>119</v>
      </c>
      <c r="E2" s="2">
        <v>1</v>
      </c>
      <c r="F2" s="2">
        <v>1</v>
      </c>
      <c r="G2" s="2">
        <v>1</v>
      </c>
      <c r="H2" s="2">
        <v>1</v>
      </c>
      <c r="I2" s="2">
        <v>1</v>
      </c>
      <c r="J2" s="2">
        <v>1</v>
      </c>
      <c r="K2" s="2" t="b">
        <v>0</v>
      </c>
      <c r="L2" s="2">
        <v>3</v>
      </c>
      <c r="M2" s="2">
        <v>0</v>
      </c>
      <c r="N2" s="2">
        <v>0</v>
      </c>
      <c r="O2" s="2"/>
    </row>
    <row r="3" spans="1:15" ht="224" x14ac:dyDescent="0.25">
      <c r="A3" s="2" t="s">
        <v>18</v>
      </c>
      <c r="B3" s="2" t="s">
        <v>16</v>
      </c>
      <c r="C3" s="2" t="s">
        <v>19</v>
      </c>
      <c r="D3" s="2" t="s">
        <v>120</v>
      </c>
      <c r="E3" s="2">
        <v>1</v>
      </c>
      <c r="F3" s="2">
        <v>1</v>
      </c>
      <c r="G3" s="2">
        <v>1</v>
      </c>
      <c r="H3" s="2">
        <v>1</v>
      </c>
      <c r="I3" s="2">
        <v>1</v>
      </c>
      <c r="J3" s="2">
        <v>1</v>
      </c>
      <c r="K3" s="2" t="b">
        <v>0</v>
      </c>
      <c r="L3" s="2">
        <v>1</v>
      </c>
      <c r="M3" s="2">
        <v>0</v>
      </c>
      <c r="N3" s="2">
        <v>0</v>
      </c>
      <c r="O3" s="2"/>
    </row>
    <row r="4" spans="1:15" ht="409.5" x14ac:dyDescent="0.25">
      <c r="A4" s="2" t="s">
        <v>20</v>
      </c>
      <c r="B4" s="2" t="s">
        <v>16</v>
      </c>
      <c r="C4" s="2" t="s">
        <v>21</v>
      </c>
      <c r="D4" s="2" t="s">
        <v>121</v>
      </c>
      <c r="E4" s="2">
        <v>1</v>
      </c>
      <c r="F4" s="2">
        <v>1</v>
      </c>
      <c r="G4" s="2">
        <v>1</v>
      </c>
      <c r="H4" s="2">
        <v>1</v>
      </c>
      <c r="I4" s="2">
        <v>1</v>
      </c>
      <c r="J4" s="2">
        <v>1</v>
      </c>
      <c r="K4" s="2" t="b">
        <v>0</v>
      </c>
      <c r="L4" s="2">
        <v>1</v>
      </c>
      <c r="M4" s="2">
        <v>0</v>
      </c>
      <c r="N4" s="2">
        <v>0</v>
      </c>
      <c r="O4" s="2"/>
    </row>
    <row r="5" spans="1:15" ht="409.5" x14ac:dyDescent="0.25">
      <c r="A5" s="2" t="s">
        <v>22</v>
      </c>
      <c r="B5" s="2" t="s">
        <v>16</v>
      </c>
      <c r="C5" s="2" t="s">
        <v>23</v>
      </c>
      <c r="D5" s="2" t="s">
        <v>122</v>
      </c>
      <c r="E5" s="2">
        <v>1</v>
      </c>
      <c r="F5" s="2">
        <v>1</v>
      </c>
      <c r="G5" s="2">
        <v>1</v>
      </c>
      <c r="H5" s="2">
        <v>1</v>
      </c>
      <c r="I5" s="2">
        <v>1</v>
      </c>
      <c r="J5" s="2">
        <v>0.8</v>
      </c>
      <c r="K5" s="2" t="b">
        <v>0</v>
      </c>
      <c r="L5" s="2">
        <v>2</v>
      </c>
      <c r="M5" s="2">
        <v>0</v>
      </c>
      <c r="N5" s="2">
        <v>1</v>
      </c>
      <c r="O5" s="2"/>
    </row>
    <row r="6" spans="1:15" ht="409.5" x14ac:dyDescent="0.25">
      <c r="A6" s="2" t="s">
        <v>24</v>
      </c>
      <c r="B6" s="2" t="s">
        <v>16</v>
      </c>
      <c r="C6" s="2" t="s">
        <v>25</v>
      </c>
      <c r="D6" s="2" t="s">
        <v>123</v>
      </c>
      <c r="E6" s="2">
        <v>1</v>
      </c>
      <c r="F6" s="2">
        <v>1</v>
      </c>
      <c r="G6" s="2">
        <v>1</v>
      </c>
      <c r="H6" s="2">
        <v>1</v>
      </c>
      <c r="I6" s="2">
        <v>0</v>
      </c>
      <c r="J6" s="2">
        <v>0.75</v>
      </c>
      <c r="K6" s="2" t="b">
        <v>0</v>
      </c>
      <c r="L6" s="2">
        <v>3</v>
      </c>
      <c r="M6" s="2">
        <v>0</v>
      </c>
      <c r="N6" s="2">
        <v>2</v>
      </c>
      <c r="O6" s="2"/>
    </row>
    <row r="7" spans="1:15" ht="409.5" x14ac:dyDescent="0.25">
      <c r="A7" s="2" t="s">
        <v>26</v>
      </c>
      <c r="B7" s="2" t="s">
        <v>16</v>
      </c>
      <c r="C7" s="2" t="s">
        <v>27</v>
      </c>
      <c r="D7" s="2" t="s">
        <v>124</v>
      </c>
      <c r="E7" s="2">
        <v>1</v>
      </c>
      <c r="F7" s="2">
        <v>1</v>
      </c>
      <c r="G7" s="2">
        <v>1</v>
      </c>
      <c r="H7" s="2">
        <v>1</v>
      </c>
      <c r="I7" s="2">
        <v>1</v>
      </c>
      <c r="J7" s="2">
        <v>0.66700000000000004</v>
      </c>
      <c r="K7" s="2" t="b">
        <v>0</v>
      </c>
      <c r="L7" s="2">
        <v>1</v>
      </c>
      <c r="M7" s="2">
        <v>0</v>
      </c>
      <c r="N7" s="2">
        <v>1</v>
      </c>
      <c r="O7" s="2"/>
    </row>
    <row r="8" spans="1:15" ht="210" x14ac:dyDescent="0.25">
      <c r="A8" s="2" t="s">
        <v>28</v>
      </c>
      <c r="B8" s="2" t="s">
        <v>16</v>
      </c>
      <c r="C8" s="2" t="s">
        <v>29</v>
      </c>
      <c r="D8" s="2" t="s">
        <v>125</v>
      </c>
      <c r="E8" s="2">
        <v>1</v>
      </c>
      <c r="F8" s="2">
        <v>1</v>
      </c>
      <c r="G8" s="2">
        <v>1</v>
      </c>
      <c r="H8" s="2">
        <v>1</v>
      </c>
      <c r="I8" s="2">
        <v>1</v>
      </c>
      <c r="J8" s="2">
        <v>1</v>
      </c>
      <c r="K8" s="2" t="b">
        <v>0</v>
      </c>
      <c r="L8" s="2">
        <v>1</v>
      </c>
      <c r="M8" s="2">
        <v>0</v>
      </c>
      <c r="N8" s="2">
        <v>0</v>
      </c>
      <c r="O8" s="2"/>
    </row>
    <row r="9" spans="1:15" ht="224" x14ac:dyDescent="0.25">
      <c r="A9" s="2" t="s">
        <v>30</v>
      </c>
      <c r="B9" s="2" t="s">
        <v>16</v>
      </c>
      <c r="C9" s="2" t="s">
        <v>31</v>
      </c>
      <c r="D9" s="2" t="s">
        <v>128</v>
      </c>
      <c r="E9" s="2">
        <v>1</v>
      </c>
      <c r="F9" s="2">
        <v>1</v>
      </c>
      <c r="G9" s="2">
        <v>1</v>
      </c>
      <c r="H9" s="2">
        <v>1</v>
      </c>
      <c r="I9" s="2">
        <v>1</v>
      </c>
      <c r="J9" s="2">
        <v>1</v>
      </c>
      <c r="K9" s="2" t="b">
        <v>0</v>
      </c>
      <c r="L9" s="2">
        <v>4</v>
      </c>
      <c r="M9" s="2">
        <v>0</v>
      </c>
      <c r="N9" s="2">
        <v>0</v>
      </c>
      <c r="O9" s="2"/>
    </row>
    <row r="10" spans="1:15" ht="409.5" x14ac:dyDescent="0.25">
      <c r="A10" s="2" t="s">
        <v>32</v>
      </c>
      <c r="B10" s="2" t="s">
        <v>16</v>
      </c>
      <c r="C10" s="2" t="s">
        <v>33</v>
      </c>
      <c r="D10" s="2" t="s">
        <v>129</v>
      </c>
      <c r="E10" s="2">
        <v>1</v>
      </c>
      <c r="F10" s="2">
        <v>1</v>
      </c>
      <c r="G10" s="2">
        <v>1</v>
      </c>
      <c r="H10" s="2">
        <v>1</v>
      </c>
      <c r="I10" s="2">
        <v>1</v>
      </c>
      <c r="J10" s="2">
        <v>1</v>
      </c>
      <c r="K10" s="2" t="b">
        <v>0</v>
      </c>
      <c r="L10" s="2">
        <v>3</v>
      </c>
      <c r="M10" s="2">
        <v>0</v>
      </c>
      <c r="N10" s="2">
        <v>0</v>
      </c>
      <c r="O10" s="2"/>
    </row>
    <row r="11" spans="1:15" ht="409.5" x14ac:dyDescent="0.25">
      <c r="A11" s="2" t="s">
        <v>34</v>
      </c>
      <c r="B11" s="2" t="s">
        <v>16</v>
      </c>
      <c r="C11" s="2" t="s">
        <v>35</v>
      </c>
      <c r="D11" s="2" t="s">
        <v>131</v>
      </c>
      <c r="E11" s="2">
        <v>1</v>
      </c>
      <c r="F11" s="2">
        <v>1</v>
      </c>
      <c r="G11" s="2">
        <v>1</v>
      </c>
      <c r="H11" s="2">
        <v>1</v>
      </c>
      <c r="I11" s="2">
        <v>1</v>
      </c>
      <c r="J11" s="2">
        <v>0.85699999999999998</v>
      </c>
      <c r="K11" s="2" t="b">
        <v>0</v>
      </c>
      <c r="L11" s="2">
        <v>3</v>
      </c>
      <c r="M11" s="2">
        <v>0</v>
      </c>
      <c r="N11" s="2">
        <v>1</v>
      </c>
      <c r="O11" s="2"/>
    </row>
    <row r="12" spans="1:15" ht="196" x14ac:dyDescent="0.25">
      <c r="A12" s="2" t="s">
        <v>36</v>
      </c>
      <c r="B12" s="2" t="s">
        <v>16</v>
      </c>
      <c r="C12" s="2" t="s">
        <v>37</v>
      </c>
      <c r="D12" s="2" t="s">
        <v>132</v>
      </c>
      <c r="E12" s="2">
        <v>1</v>
      </c>
      <c r="F12" s="2">
        <v>1</v>
      </c>
      <c r="G12" s="2">
        <v>1</v>
      </c>
      <c r="H12" s="2">
        <v>1</v>
      </c>
      <c r="I12" s="2">
        <v>1</v>
      </c>
      <c r="J12" s="2">
        <v>1</v>
      </c>
      <c r="K12" s="2" t="b">
        <v>0</v>
      </c>
      <c r="L12" s="2">
        <v>2</v>
      </c>
      <c r="M12" s="2">
        <v>0</v>
      </c>
      <c r="N12" s="2">
        <v>0</v>
      </c>
      <c r="O12" s="2"/>
    </row>
    <row r="13" spans="1:15" ht="280" x14ac:dyDescent="0.25">
      <c r="A13" s="2" t="s">
        <v>38</v>
      </c>
      <c r="B13" s="2" t="s">
        <v>16</v>
      </c>
      <c r="C13" s="2" t="s">
        <v>39</v>
      </c>
      <c r="D13" s="2" t="s">
        <v>134</v>
      </c>
      <c r="E13" s="2">
        <v>0</v>
      </c>
      <c r="F13" s="2">
        <v>0</v>
      </c>
      <c r="G13" s="2">
        <v>0</v>
      </c>
      <c r="H13" s="2">
        <v>0</v>
      </c>
      <c r="I13" s="2">
        <v>0</v>
      </c>
      <c r="J13" s="2">
        <v>1</v>
      </c>
      <c r="K13" s="2" t="b">
        <v>0</v>
      </c>
      <c r="L13" s="2">
        <v>3</v>
      </c>
      <c r="M13" s="2">
        <v>0</v>
      </c>
      <c r="N13" s="2">
        <v>0</v>
      </c>
      <c r="O13" s="2"/>
    </row>
    <row r="14" spans="1:15" ht="350" x14ac:dyDescent="0.25">
      <c r="A14" s="2" t="s">
        <v>40</v>
      </c>
      <c r="B14" s="2" t="s">
        <v>41</v>
      </c>
      <c r="C14" s="2" t="s">
        <v>42</v>
      </c>
      <c r="D14" s="2" t="s">
        <v>136</v>
      </c>
      <c r="E14" s="2">
        <v>1</v>
      </c>
      <c r="F14" s="2">
        <v>1</v>
      </c>
      <c r="G14" s="2">
        <v>1</v>
      </c>
      <c r="H14" s="2">
        <v>1</v>
      </c>
      <c r="I14" s="2">
        <v>0</v>
      </c>
      <c r="J14" s="2">
        <v>1</v>
      </c>
      <c r="K14" s="2" t="b">
        <v>0</v>
      </c>
      <c r="L14" s="2">
        <v>1</v>
      </c>
      <c r="M14" s="2">
        <v>0</v>
      </c>
      <c r="N14" s="2">
        <v>0</v>
      </c>
      <c r="O14" s="2"/>
    </row>
    <row r="15" spans="1:15" ht="409.5" x14ac:dyDescent="0.25">
      <c r="A15" s="2" t="s">
        <v>43</v>
      </c>
      <c r="B15" s="2" t="s">
        <v>41</v>
      </c>
      <c r="C15" s="2" t="s">
        <v>44</v>
      </c>
      <c r="D15" s="2" t="s">
        <v>130</v>
      </c>
      <c r="E15" s="2">
        <v>1</v>
      </c>
      <c r="F15" s="2">
        <v>1</v>
      </c>
      <c r="G15" s="2">
        <v>1</v>
      </c>
      <c r="H15" s="2">
        <v>1</v>
      </c>
      <c r="I15" s="2">
        <v>1</v>
      </c>
      <c r="J15" s="2">
        <v>1</v>
      </c>
      <c r="K15" s="2" t="b">
        <v>0</v>
      </c>
      <c r="L15" s="2">
        <v>3</v>
      </c>
      <c r="M15" s="2">
        <v>0</v>
      </c>
      <c r="N15" s="2">
        <v>0</v>
      </c>
      <c r="O15" s="2"/>
    </row>
    <row r="16" spans="1:15" ht="392" x14ac:dyDescent="0.25">
      <c r="A16" s="2" t="s">
        <v>45</v>
      </c>
      <c r="B16" s="2" t="s">
        <v>41</v>
      </c>
      <c r="C16" s="2" t="s">
        <v>46</v>
      </c>
      <c r="D16" s="2" t="s">
        <v>137</v>
      </c>
      <c r="E16" s="2">
        <v>1</v>
      </c>
      <c r="F16" s="2">
        <v>1</v>
      </c>
      <c r="G16" s="2">
        <v>1</v>
      </c>
      <c r="H16" s="2">
        <v>1</v>
      </c>
      <c r="I16" s="2">
        <v>0.5</v>
      </c>
      <c r="J16" s="2">
        <v>1</v>
      </c>
      <c r="K16" s="2" t="b">
        <v>0</v>
      </c>
      <c r="L16" s="2">
        <v>3</v>
      </c>
      <c r="M16" s="2">
        <v>0</v>
      </c>
      <c r="N16" s="2">
        <v>0</v>
      </c>
      <c r="O16" s="2"/>
    </row>
    <row r="17" spans="1:15" ht="409.5" x14ac:dyDescent="0.25">
      <c r="A17" s="2" t="s">
        <v>47</v>
      </c>
      <c r="B17" s="2" t="s">
        <v>41</v>
      </c>
      <c r="C17" s="2" t="s">
        <v>48</v>
      </c>
      <c r="D17" s="2" t="s">
        <v>138</v>
      </c>
      <c r="E17" s="2">
        <v>1</v>
      </c>
      <c r="F17" s="2">
        <v>1</v>
      </c>
      <c r="G17" s="2">
        <v>1</v>
      </c>
      <c r="H17" s="2">
        <v>1</v>
      </c>
      <c r="I17" s="2">
        <v>0.66669999999999996</v>
      </c>
      <c r="J17" s="2">
        <v>1</v>
      </c>
      <c r="K17" s="2" t="b">
        <v>0</v>
      </c>
      <c r="L17" s="2">
        <v>2</v>
      </c>
      <c r="M17" s="2">
        <v>0</v>
      </c>
      <c r="N17" s="2">
        <v>0</v>
      </c>
      <c r="O17" s="2"/>
    </row>
    <row r="18" spans="1:15" ht="409.5" x14ac:dyDescent="0.25">
      <c r="A18" s="2" t="s">
        <v>49</v>
      </c>
      <c r="B18" s="2" t="s">
        <v>41</v>
      </c>
      <c r="C18" s="2" t="s">
        <v>50</v>
      </c>
      <c r="D18" s="2" t="s">
        <v>139</v>
      </c>
      <c r="E18" s="2">
        <v>1</v>
      </c>
      <c r="F18" s="2">
        <v>1</v>
      </c>
      <c r="G18" s="2">
        <v>1</v>
      </c>
      <c r="H18" s="2">
        <v>1</v>
      </c>
      <c r="I18" s="2">
        <v>0.5</v>
      </c>
      <c r="J18" s="2">
        <v>1</v>
      </c>
      <c r="K18" s="2" t="b">
        <v>0</v>
      </c>
      <c r="L18" s="2">
        <v>4</v>
      </c>
      <c r="M18" s="2">
        <v>0</v>
      </c>
      <c r="N18" s="2">
        <v>0</v>
      </c>
      <c r="O18" s="2"/>
    </row>
    <row r="19" spans="1:15" ht="409.5" x14ac:dyDescent="0.25">
      <c r="A19" s="2" t="s">
        <v>51</v>
      </c>
      <c r="B19" s="2" t="s">
        <v>41</v>
      </c>
      <c r="C19" s="2" t="s">
        <v>52</v>
      </c>
      <c r="D19" s="2" t="s">
        <v>140</v>
      </c>
      <c r="E19" s="2">
        <v>0</v>
      </c>
      <c r="F19" s="2">
        <v>1</v>
      </c>
      <c r="G19" s="2">
        <v>1</v>
      </c>
      <c r="H19" s="2">
        <v>0.33333333333333331</v>
      </c>
      <c r="I19" s="2">
        <v>1</v>
      </c>
      <c r="J19" s="2">
        <v>1</v>
      </c>
      <c r="K19" s="2" t="b">
        <v>0</v>
      </c>
      <c r="L19" s="2">
        <v>3</v>
      </c>
      <c r="M19" s="2">
        <v>0</v>
      </c>
      <c r="N19" s="2">
        <v>0</v>
      </c>
      <c r="O19" s="2"/>
    </row>
    <row r="20" spans="1:15" ht="252" x14ac:dyDescent="0.25">
      <c r="A20" s="2" t="s">
        <v>53</v>
      </c>
      <c r="B20" s="2" t="s">
        <v>41</v>
      </c>
      <c r="C20" s="2" t="s">
        <v>54</v>
      </c>
      <c r="D20" s="2" t="s">
        <v>141</v>
      </c>
      <c r="E20" s="2">
        <v>0</v>
      </c>
      <c r="F20" s="2">
        <v>0</v>
      </c>
      <c r="G20" s="2">
        <v>0</v>
      </c>
      <c r="H20" s="2">
        <v>0</v>
      </c>
      <c r="I20" s="2">
        <v>0</v>
      </c>
      <c r="J20" s="2">
        <v>0</v>
      </c>
      <c r="K20" s="2" t="b">
        <v>0</v>
      </c>
      <c r="L20" s="2">
        <v>0</v>
      </c>
      <c r="M20" s="2">
        <v>1</v>
      </c>
      <c r="N20" s="2">
        <v>1</v>
      </c>
      <c r="O20" s="2"/>
    </row>
    <row r="21" spans="1:15" ht="294" x14ac:dyDescent="0.25">
      <c r="A21" s="2" t="s">
        <v>161</v>
      </c>
      <c r="B21" s="2" t="s">
        <v>41</v>
      </c>
      <c r="C21" s="2" t="s">
        <v>55</v>
      </c>
      <c r="D21" s="2" t="s">
        <v>142</v>
      </c>
      <c r="E21" s="2">
        <v>1</v>
      </c>
      <c r="F21" s="2">
        <v>1</v>
      </c>
      <c r="G21" s="2">
        <v>1</v>
      </c>
      <c r="H21" s="2">
        <v>1</v>
      </c>
      <c r="I21" s="2">
        <v>1</v>
      </c>
      <c r="J21" s="2">
        <v>0.66700000000000004</v>
      </c>
      <c r="K21" s="2" t="b">
        <v>0</v>
      </c>
      <c r="L21" s="2">
        <v>1</v>
      </c>
      <c r="M21" s="2">
        <v>0</v>
      </c>
      <c r="N21" s="2">
        <v>1</v>
      </c>
      <c r="O21" s="2"/>
    </row>
    <row r="22" spans="1:15" ht="409.5" x14ac:dyDescent="0.25">
      <c r="A22" s="2" t="s">
        <v>56</v>
      </c>
      <c r="B22" s="2" t="s">
        <v>41</v>
      </c>
      <c r="C22" s="2" t="s">
        <v>57</v>
      </c>
      <c r="D22" s="2" t="s">
        <v>143</v>
      </c>
      <c r="E22" s="2">
        <v>0</v>
      </c>
      <c r="F22" s="2">
        <v>1</v>
      </c>
      <c r="G22" s="2">
        <v>1</v>
      </c>
      <c r="H22" s="2">
        <v>0.5</v>
      </c>
      <c r="I22" s="2">
        <v>1</v>
      </c>
      <c r="J22" s="2">
        <v>1</v>
      </c>
      <c r="K22" s="2" t="b">
        <v>0</v>
      </c>
      <c r="L22" s="2">
        <v>3</v>
      </c>
      <c r="M22" s="2">
        <v>0</v>
      </c>
      <c r="N22" s="2">
        <v>0</v>
      </c>
      <c r="O22" s="2"/>
    </row>
    <row r="23" spans="1:15" ht="409.5" x14ac:dyDescent="0.25">
      <c r="A23" s="2" t="s">
        <v>58</v>
      </c>
      <c r="B23" s="2" t="s">
        <v>41</v>
      </c>
      <c r="C23" s="2" t="s">
        <v>59</v>
      </c>
      <c r="D23" s="2" t="s">
        <v>144</v>
      </c>
      <c r="E23" s="2">
        <v>1</v>
      </c>
      <c r="F23" s="2">
        <v>1</v>
      </c>
      <c r="G23" s="2">
        <v>1</v>
      </c>
      <c r="H23" s="2">
        <v>1</v>
      </c>
      <c r="I23" s="2">
        <v>1</v>
      </c>
      <c r="J23" s="2">
        <v>1</v>
      </c>
      <c r="K23" s="2" t="b">
        <v>0</v>
      </c>
      <c r="L23" s="2">
        <v>2</v>
      </c>
      <c r="M23" s="2">
        <v>0</v>
      </c>
      <c r="N23" s="2">
        <v>0</v>
      </c>
      <c r="O23" s="2"/>
    </row>
    <row r="24" spans="1:15" ht="210" x14ac:dyDescent="0.25">
      <c r="A24" s="2" t="s">
        <v>60</v>
      </c>
      <c r="B24" s="2" t="s">
        <v>41</v>
      </c>
      <c r="C24" s="2" t="s">
        <v>61</v>
      </c>
      <c r="D24" s="2" t="s">
        <v>146</v>
      </c>
      <c r="E24" s="2">
        <v>1</v>
      </c>
      <c r="F24" s="2">
        <v>1</v>
      </c>
      <c r="G24" s="2">
        <v>1</v>
      </c>
      <c r="H24" s="2">
        <v>1</v>
      </c>
      <c r="I24" s="2">
        <v>1</v>
      </c>
      <c r="J24" s="2">
        <v>0.66700000000000004</v>
      </c>
      <c r="K24" s="2" t="b">
        <v>0</v>
      </c>
      <c r="L24" s="2">
        <v>1</v>
      </c>
      <c r="M24" s="2">
        <v>1</v>
      </c>
      <c r="N24" s="2">
        <v>0</v>
      </c>
      <c r="O24" s="2"/>
    </row>
    <row r="25" spans="1:15" ht="392" x14ac:dyDescent="0.25">
      <c r="A25" s="2" t="s">
        <v>62</v>
      </c>
      <c r="B25" s="2" t="s">
        <v>63</v>
      </c>
      <c r="C25" s="2" t="s">
        <v>64</v>
      </c>
      <c r="D25" s="2" t="s">
        <v>148</v>
      </c>
      <c r="E25" s="2">
        <v>1</v>
      </c>
      <c r="F25" s="2">
        <v>1</v>
      </c>
      <c r="G25" s="2">
        <v>1</v>
      </c>
      <c r="H25" s="2">
        <v>1</v>
      </c>
      <c r="I25" s="2">
        <v>0.5</v>
      </c>
      <c r="J25" s="2">
        <v>0.8</v>
      </c>
      <c r="K25" s="2" t="b">
        <v>0</v>
      </c>
      <c r="L25" s="2">
        <v>2</v>
      </c>
      <c r="M25" s="2">
        <v>0</v>
      </c>
      <c r="N25" s="2">
        <v>1</v>
      </c>
      <c r="O25" s="2"/>
    </row>
    <row r="26" spans="1:15" ht="210" x14ac:dyDescent="0.25">
      <c r="A26" s="2" t="s">
        <v>65</v>
      </c>
      <c r="B26" s="2" t="s">
        <v>63</v>
      </c>
      <c r="C26" s="2" t="s">
        <v>66</v>
      </c>
      <c r="D26" s="2" t="s">
        <v>149</v>
      </c>
      <c r="E26" s="2">
        <v>1</v>
      </c>
      <c r="F26" s="2">
        <v>1</v>
      </c>
      <c r="G26" s="2">
        <v>1</v>
      </c>
      <c r="H26" s="2">
        <v>1</v>
      </c>
      <c r="I26" s="2">
        <v>1</v>
      </c>
      <c r="J26" s="2">
        <v>1</v>
      </c>
      <c r="K26" s="2" t="b">
        <v>0</v>
      </c>
      <c r="L26" s="2">
        <v>1</v>
      </c>
      <c r="M26" s="2">
        <v>0</v>
      </c>
      <c r="N26" s="2">
        <v>0</v>
      </c>
      <c r="O26" s="2"/>
    </row>
    <row r="27" spans="1:15" ht="409.5" x14ac:dyDescent="0.25">
      <c r="A27" s="2" t="s">
        <v>67</v>
      </c>
      <c r="B27" s="2" t="s">
        <v>63</v>
      </c>
      <c r="C27" s="2" t="s">
        <v>68</v>
      </c>
      <c r="D27" s="2" t="s">
        <v>151</v>
      </c>
      <c r="E27" s="2">
        <v>1</v>
      </c>
      <c r="F27" s="2">
        <v>1</v>
      </c>
      <c r="G27" s="2">
        <v>1</v>
      </c>
      <c r="H27" s="2">
        <v>1</v>
      </c>
      <c r="I27" s="2">
        <v>0.5</v>
      </c>
      <c r="J27" s="2">
        <v>0.66700000000000004</v>
      </c>
      <c r="K27" s="2" t="b">
        <v>0</v>
      </c>
      <c r="L27" s="2">
        <v>1</v>
      </c>
      <c r="M27" s="2">
        <v>0</v>
      </c>
      <c r="N27" s="2">
        <v>1</v>
      </c>
      <c r="O27" s="2"/>
    </row>
    <row r="28" spans="1:15" ht="182" x14ac:dyDescent="0.25">
      <c r="A28" s="2" t="s">
        <v>69</v>
      </c>
      <c r="B28" s="2" t="s">
        <v>63</v>
      </c>
      <c r="C28" s="2" t="s">
        <v>70</v>
      </c>
      <c r="D28" s="2" t="s">
        <v>147</v>
      </c>
      <c r="E28" s="2">
        <v>0</v>
      </c>
      <c r="F28" s="2">
        <v>0</v>
      </c>
      <c r="G28" s="2">
        <v>1</v>
      </c>
      <c r="H28" s="2">
        <v>0.2</v>
      </c>
      <c r="I28" s="2">
        <v>1</v>
      </c>
      <c r="J28" s="2">
        <v>1</v>
      </c>
      <c r="K28" s="2" t="b">
        <v>0</v>
      </c>
      <c r="L28" s="2">
        <v>1</v>
      </c>
      <c r="M28" s="2">
        <v>0</v>
      </c>
      <c r="N28" s="2">
        <v>0</v>
      </c>
      <c r="O28" s="2"/>
    </row>
    <row r="29" spans="1:15" ht="336" x14ac:dyDescent="0.25">
      <c r="A29" s="2" t="s">
        <v>71</v>
      </c>
      <c r="B29" s="2" t="s">
        <v>63</v>
      </c>
      <c r="C29" s="2" t="s">
        <v>72</v>
      </c>
      <c r="D29" s="2" t="s">
        <v>133</v>
      </c>
      <c r="E29" s="2">
        <v>0</v>
      </c>
      <c r="F29" s="2">
        <v>1</v>
      </c>
      <c r="G29" s="2">
        <v>1</v>
      </c>
      <c r="H29" s="2">
        <v>0.5</v>
      </c>
      <c r="I29" s="2">
        <v>0.5</v>
      </c>
      <c r="J29" s="2">
        <v>1</v>
      </c>
      <c r="K29" s="2" t="b">
        <v>0</v>
      </c>
      <c r="L29" s="2">
        <v>1</v>
      </c>
      <c r="M29" s="2">
        <v>0</v>
      </c>
      <c r="N29" s="2">
        <v>0</v>
      </c>
      <c r="O29" s="2"/>
    </row>
    <row r="30" spans="1:15" ht="406" x14ac:dyDescent="0.25">
      <c r="A30" s="2" t="s">
        <v>73</v>
      </c>
      <c r="B30" s="2" t="s">
        <v>63</v>
      </c>
      <c r="C30" s="2" t="s">
        <v>74</v>
      </c>
      <c r="D30" s="2" t="s">
        <v>152</v>
      </c>
      <c r="E30" s="2">
        <v>1</v>
      </c>
      <c r="F30" s="2">
        <v>1</v>
      </c>
      <c r="G30" s="2">
        <v>1</v>
      </c>
      <c r="H30" s="2">
        <v>1</v>
      </c>
      <c r="I30" s="2">
        <v>1</v>
      </c>
      <c r="J30" s="2">
        <v>1</v>
      </c>
      <c r="K30" s="2" t="b">
        <v>0</v>
      </c>
      <c r="L30" s="2">
        <v>3</v>
      </c>
      <c r="M30" s="2">
        <v>0</v>
      </c>
      <c r="N30" s="2">
        <v>0</v>
      </c>
      <c r="O30" s="2"/>
    </row>
    <row r="31" spans="1:15" ht="322" x14ac:dyDescent="0.25">
      <c r="A31" s="2" t="s">
        <v>75</v>
      </c>
      <c r="B31" s="2" t="s">
        <v>63</v>
      </c>
      <c r="C31" s="2" t="s">
        <v>76</v>
      </c>
      <c r="D31" s="2" t="s">
        <v>126</v>
      </c>
      <c r="E31" s="2">
        <v>0</v>
      </c>
      <c r="F31" s="2">
        <v>0</v>
      </c>
      <c r="G31" s="2">
        <v>0</v>
      </c>
      <c r="H31" s="2">
        <v>0</v>
      </c>
      <c r="I31" s="2">
        <v>0</v>
      </c>
      <c r="J31" s="2">
        <v>1</v>
      </c>
      <c r="K31" s="2" t="b">
        <v>0</v>
      </c>
      <c r="L31" s="2">
        <v>3</v>
      </c>
      <c r="M31" s="2">
        <v>0</v>
      </c>
      <c r="N31" s="2">
        <v>0</v>
      </c>
      <c r="O31" s="2"/>
    </row>
    <row r="32" spans="1:15" ht="252" x14ac:dyDescent="0.25">
      <c r="A32" s="2" t="s">
        <v>77</v>
      </c>
      <c r="B32" s="2" t="s">
        <v>63</v>
      </c>
      <c r="C32" s="2" t="s">
        <v>78</v>
      </c>
      <c r="D32" s="2" t="s">
        <v>127</v>
      </c>
      <c r="E32" s="2">
        <v>1</v>
      </c>
      <c r="F32" s="2">
        <v>1</v>
      </c>
      <c r="G32" s="2">
        <v>1</v>
      </c>
      <c r="H32" s="2">
        <v>1</v>
      </c>
      <c r="I32" s="2">
        <v>1</v>
      </c>
      <c r="J32" s="2">
        <v>0.66700000000000004</v>
      </c>
      <c r="K32" s="2" t="b">
        <v>0</v>
      </c>
      <c r="L32" s="2">
        <v>1</v>
      </c>
      <c r="M32" s="2">
        <v>0</v>
      </c>
      <c r="N32" s="2">
        <v>1</v>
      </c>
      <c r="O32" s="2"/>
    </row>
    <row r="33" spans="1:15" ht="409.5" x14ac:dyDescent="0.25">
      <c r="A33" s="2" t="s">
        <v>79</v>
      </c>
      <c r="B33" s="2" t="s">
        <v>63</v>
      </c>
      <c r="C33" s="2" t="s">
        <v>80</v>
      </c>
      <c r="D33" s="2" t="s">
        <v>154</v>
      </c>
      <c r="E33" s="2">
        <v>1</v>
      </c>
      <c r="F33" s="2">
        <v>1</v>
      </c>
      <c r="G33" s="2">
        <v>1</v>
      </c>
      <c r="H33" s="2">
        <v>1</v>
      </c>
      <c r="I33" s="2">
        <v>1</v>
      </c>
      <c r="J33" s="2">
        <v>1</v>
      </c>
      <c r="K33" s="2" t="b">
        <v>0</v>
      </c>
      <c r="L33" s="2">
        <v>3</v>
      </c>
      <c r="M33" s="2">
        <v>0</v>
      </c>
      <c r="N33" s="2">
        <v>0</v>
      </c>
      <c r="O33" s="2"/>
    </row>
    <row r="34" spans="1:15" ht="409.5" x14ac:dyDescent="0.25">
      <c r="A34" s="2" t="s">
        <v>81</v>
      </c>
      <c r="B34" s="2" t="s">
        <v>63</v>
      </c>
      <c r="C34" s="2" t="s">
        <v>82</v>
      </c>
      <c r="D34" s="2" t="s">
        <v>155</v>
      </c>
      <c r="E34" s="2">
        <v>1</v>
      </c>
      <c r="F34" s="2">
        <v>1</v>
      </c>
      <c r="G34" s="2">
        <v>1</v>
      </c>
      <c r="H34" s="2">
        <v>1</v>
      </c>
      <c r="I34" s="2">
        <v>1</v>
      </c>
      <c r="J34" s="2">
        <v>1</v>
      </c>
      <c r="K34" s="2" t="b">
        <v>0</v>
      </c>
      <c r="L34" s="2">
        <v>3</v>
      </c>
      <c r="M34" s="2">
        <v>0</v>
      </c>
      <c r="N34" s="2">
        <v>0</v>
      </c>
      <c r="O34" s="2"/>
    </row>
    <row r="35" spans="1:15" ht="350" x14ac:dyDescent="0.25">
      <c r="A35" s="2" t="s">
        <v>83</v>
      </c>
      <c r="B35" s="2" t="s">
        <v>63</v>
      </c>
      <c r="C35" s="2" t="s">
        <v>84</v>
      </c>
      <c r="D35" s="2" t="s">
        <v>156</v>
      </c>
      <c r="E35" s="2">
        <v>0</v>
      </c>
      <c r="F35" s="2">
        <v>0</v>
      </c>
      <c r="G35" s="2">
        <v>1</v>
      </c>
      <c r="H35" s="2">
        <v>0.2</v>
      </c>
      <c r="I35" s="2">
        <v>0</v>
      </c>
      <c r="J35" s="2">
        <v>0.66700000000000004</v>
      </c>
      <c r="K35" s="2" t="b">
        <v>0</v>
      </c>
      <c r="L35" s="2">
        <v>1</v>
      </c>
      <c r="M35" s="2">
        <v>0</v>
      </c>
      <c r="N35" s="2">
        <v>1</v>
      </c>
      <c r="O35" s="2"/>
    </row>
    <row r="36" spans="1:15" ht="409.5" x14ac:dyDescent="0.25">
      <c r="A36" s="2" t="s">
        <v>85</v>
      </c>
      <c r="B36" s="2" t="s">
        <v>86</v>
      </c>
      <c r="C36" s="2" t="s">
        <v>87</v>
      </c>
      <c r="D36" s="2" t="s">
        <v>150</v>
      </c>
      <c r="E36" s="2">
        <v>1</v>
      </c>
      <c r="F36" s="2">
        <v>1</v>
      </c>
      <c r="G36" s="2">
        <v>1</v>
      </c>
      <c r="H36" s="2">
        <v>1</v>
      </c>
      <c r="I36" s="2">
        <v>1</v>
      </c>
      <c r="J36" s="2">
        <v>1</v>
      </c>
      <c r="K36" s="2" t="b">
        <v>0</v>
      </c>
      <c r="L36" s="2">
        <v>2</v>
      </c>
      <c r="M36" s="2">
        <v>0</v>
      </c>
      <c r="N36" s="2">
        <v>0</v>
      </c>
      <c r="O36" s="2"/>
    </row>
    <row r="37" spans="1:15" ht="409.5" x14ac:dyDescent="0.25">
      <c r="A37" s="2" t="s">
        <v>88</v>
      </c>
      <c r="B37" s="2" t="s">
        <v>86</v>
      </c>
      <c r="C37" s="2" t="s">
        <v>89</v>
      </c>
      <c r="D37" s="2" t="s">
        <v>157</v>
      </c>
      <c r="E37" s="2">
        <v>1</v>
      </c>
      <c r="F37" s="2">
        <v>1</v>
      </c>
      <c r="G37" s="2">
        <v>1</v>
      </c>
      <c r="H37" s="2">
        <v>1</v>
      </c>
      <c r="I37" s="2">
        <v>1</v>
      </c>
      <c r="J37" s="2">
        <v>1</v>
      </c>
      <c r="K37" s="2" t="b">
        <v>0</v>
      </c>
      <c r="L37" s="2">
        <v>2</v>
      </c>
      <c r="M37" s="2">
        <v>0</v>
      </c>
      <c r="N37" s="2">
        <v>0</v>
      </c>
      <c r="O37" s="2"/>
    </row>
    <row r="38" spans="1:15" ht="409.5" x14ac:dyDescent="0.25">
      <c r="A38" s="2" t="s">
        <v>90</v>
      </c>
      <c r="B38" s="2" t="s">
        <v>86</v>
      </c>
      <c r="C38" s="2" t="s">
        <v>91</v>
      </c>
      <c r="D38" s="2" t="s">
        <v>158</v>
      </c>
      <c r="E38" s="2">
        <v>0</v>
      </c>
      <c r="F38" s="2">
        <v>1</v>
      </c>
      <c r="G38" s="2">
        <v>1</v>
      </c>
      <c r="H38" s="2">
        <v>0.33333333333333331</v>
      </c>
      <c r="I38" s="2">
        <v>0.33329999999999999</v>
      </c>
      <c r="J38" s="2">
        <v>0.66700000000000004</v>
      </c>
      <c r="K38" s="2" t="b">
        <v>0</v>
      </c>
      <c r="L38" s="2">
        <v>2</v>
      </c>
      <c r="M38" s="2">
        <v>0</v>
      </c>
      <c r="N38" s="2">
        <v>2</v>
      </c>
      <c r="O38" s="2"/>
    </row>
    <row r="39" spans="1:15" ht="409.5" x14ac:dyDescent="0.25">
      <c r="A39" s="2" t="s">
        <v>92</v>
      </c>
      <c r="B39" s="2" t="s">
        <v>86</v>
      </c>
      <c r="C39" s="2" t="s">
        <v>93</v>
      </c>
      <c r="D39" s="2" t="s">
        <v>135</v>
      </c>
      <c r="E39" s="2">
        <v>0</v>
      </c>
      <c r="F39" s="2">
        <v>1</v>
      </c>
      <c r="G39" s="2">
        <v>1</v>
      </c>
      <c r="H39" s="2">
        <v>0.33333333333333331</v>
      </c>
      <c r="I39" s="2">
        <v>0</v>
      </c>
      <c r="J39" s="2">
        <v>1</v>
      </c>
      <c r="K39" s="2" t="b">
        <v>0</v>
      </c>
      <c r="L39" s="2">
        <v>2</v>
      </c>
      <c r="M39" s="2">
        <v>0</v>
      </c>
      <c r="N39" s="2">
        <v>0</v>
      </c>
      <c r="O39" s="2"/>
    </row>
    <row r="40" spans="1:15" ht="409.5" x14ac:dyDescent="0.25">
      <c r="A40" s="2" t="s">
        <v>94</v>
      </c>
      <c r="B40" s="2" t="s">
        <v>86</v>
      </c>
      <c r="C40" s="2" t="s">
        <v>95</v>
      </c>
      <c r="D40" s="2" t="s">
        <v>153</v>
      </c>
      <c r="E40" s="2">
        <v>1</v>
      </c>
      <c r="F40" s="2">
        <v>1</v>
      </c>
      <c r="G40" s="2">
        <v>1</v>
      </c>
      <c r="H40" s="2">
        <v>1</v>
      </c>
      <c r="I40" s="2">
        <v>1</v>
      </c>
      <c r="J40" s="2">
        <v>0.66700000000000004</v>
      </c>
      <c r="K40" s="2" t="b">
        <v>0</v>
      </c>
      <c r="L40" s="2">
        <v>2</v>
      </c>
      <c r="M40" s="2">
        <v>1</v>
      </c>
      <c r="N40" s="2">
        <v>1</v>
      </c>
      <c r="O40" s="2"/>
    </row>
    <row r="41" spans="1:15" ht="409.5" x14ac:dyDescent="0.25">
      <c r="A41" s="2" t="s">
        <v>96</v>
      </c>
      <c r="B41" s="2" t="s">
        <v>86</v>
      </c>
      <c r="C41" s="2" t="s">
        <v>97</v>
      </c>
      <c r="D41" s="2" t="s">
        <v>159</v>
      </c>
      <c r="E41" s="2">
        <v>1</v>
      </c>
      <c r="F41" s="2">
        <v>1</v>
      </c>
      <c r="G41" s="2">
        <v>1</v>
      </c>
      <c r="H41" s="2">
        <v>1</v>
      </c>
      <c r="I41" s="2">
        <v>0.5</v>
      </c>
      <c r="J41" s="2">
        <v>0.8</v>
      </c>
      <c r="K41" s="2" t="b">
        <v>0</v>
      </c>
      <c r="L41" s="2">
        <v>2</v>
      </c>
      <c r="M41" s="2">
        <v>0</v>
      </c>
      <c r="N41" s="2">
        <v>1</v>
      </c>
      <c r="O41" s="2"/>
    </row>
    <row r="42" spans="1:15" ht="409.5" x14ac:dyDescent="0.25">
      <c r="A42" s="2" t="s">
        <v>98</v>
      </c>
      <c r="B42" s="2" t="s">
        <v>86</v>
      </c>
      <c r="C42" s="2" t="s">
        <v>99</v>
      </c>
      <c r="D42" s="2" t="s">
        <v>160</v>
      </c>
      <c r="E42" s="2">
        <v>1</v>
      </c>
      <c r="F42" s="2">
        <v>1</v>
      </c>
      <c r="G42" s="2">
        <v>1</v>
      </c>
      <c r="H42" s="2">
        <v>1</v>
      </c>
      <c r="I42" s="2">
        <v>0.5</v>
      </c>
      <c r="J42" s="2">
        <v>0.8</v>
      </c>
      <c r="K42" s="2" t="b">
        <v>0</v>
      </c>
      <c r="L42" s="2">
        <v>4</v>
      </c>
      <c r="M42" s="2">
        <v>0</v>
      </c>
      <c r="N42" s="2">
        <v>2</v>
      </c>
      <c r="O42" s="2"/>
    </row>
    <row r="43" spans="1:15" ht="409.5" x14ac:dyDescent="0.25">
      <c r="A43" s="2" t="s">
        <v>100</v>
      </c>
      <c r="B43" s="2" t="s">
        <v>86</v>
      </c>
      <c r="C43" s="2" t="s">
        <v>101</v>
      </c>
      <c r="D43" s="2" t="s">
        <v>145</v>
      </c>
      <c r="E43" s="2">
        <v>0</v>
      </c>
      <c r="F43" s="2">
        <v>1</v>
      </c>
      <c r="G43" s="2">
        <v>1</v>
      </c>
      <c r="H43" s="2">
        <v>0.5</v>
      </c>
      <c r="I43" s="2">
        <v>1</v>
      </c>
      <c r="J43" s="2">
        <v>1</v>
      </c>
      <c r="K43" s="2" t="b">
        <v>0</v>
      </c>
      <c r="L43" s="2">
        <v>4</v>
      </c>
      <c r="M43" s="2">
        <v>0</v>
      </c>
      <c r="N43" s="2">
        <v>0</v>
      </c>
      <c r="O43" s="2"/>
    </row>
    <row r="44" spans="1:15" ht="112" x14ac:dyDescent="0.25">
      <c r="A44" s="2" t="s">
        <v>102</v>
      </c>
      <c r="B44" s="2" t="s">
        <v>103</v>
      </c>
      <c r="C44" s="2" t="s">
        <v>104</v>
      </c>
      <c r="D44" s="2" t="s">
        <v>105</v>
      </c>
      <c r="E44" s="2"/>
      <c r="F44" s="2"/>
      <c r="G44" s="2"/>
      <c r="H44" s="2"/>
      <c r="I44" s="2"/>
      <c r="J44" s="2">
        <v>1</v>
      </c>
      <c r="K44" s="2" t="b">
        <v>1</v>
      </c>
      <c r="L44" s="2">
        <v>1</v>
      </c>
      <c r="M44" s="2">
        <v>0</v>
      </c>
      <c r="N44" s="2">
        <v>0</v>
      </c>
      <c r="O44" s="2" t="b">
        <v>1</v>
      </c>
    </row>
    <row r="45" spans="1:15" ht="140" x14ac:dyDescent="0.25">
      <c r="A45" s="2" t="s">
        <v>106</v>
      </c>
      <c r="B45" s="2" t="s">
        <v>103</v>
      </c>
      <c r="C45" s="2" t="s">
        <v>104</v>
      </c>
      <c r="D45" s="2" t="s">
        <v>105</v>
      </c>
      <c r="E45" s="2"/>
      <c r="F45" s="2"/>
      <c r="G45" s="2"/>
      <c r="H45" s="2"/>
      <c r="I45" s="2"/>
      <c r="J45" s="2">
        <v>1</v>
      </c>
      <c r="K45" s="2" t="b">
        <v>1</v>
      </c>
      <c r="L45" s="2">
        <v>1</v>
      </c>
      <c r="M45" s="2">
        <v>0</v>
      </c>
      <c r="N45" s="2">
        <v>0</v>
      </c>
      <c r="O45" s="2" t="b">
        <v>1</v>
      </c>
    </row>
    <row r="46" spans="1:15" ht="84" x14ac:dyDescent="0.25">
      <c r="A46" s="2" t="s">
        <v>107</v>
      </c>
      <c r="B46" s="2" t="s">
        <v>103</v>
      </c>
      <c r="C46" s="2" t="s">
        <v>104</v>
      </c>
      <c r="D46" s="2" t="s">
        <v>105</v>
      </c>
      <c r="E46" s="2"/>
      <c r="F46" s="2"/>
      <c r="G46" s="2"/>
      <c r="H46" s="2"/>
      <c r="I46" s="2"/>
      <c r="J46" s="2">
        <v>1</v>
      </c>
      <c r="K46" s="2" t="b">
        <v>1</v>
      </c>
      <c r="L46" s="2">
        <v>1</v>
      </c>
      <c r="M46" s="2">
        <v>0</v>
      </c>
      <c r="N46" s="2">
        <v>0</v>
      </c>
      <c r="O46" s="2" t="b">
        <v>1</v>
      </c>
    </row>
    <row r="47" spans="1:15" ht="210" x14ac:dyDescent="0.25">
      <c r="A47" s="2" t="s">
        <v>108</v>
      </c>
      <c r="B47" s="2" t="s">
        <v>103</v>
      </c>
      <c r="C47" s="2" t="s">
        <v>104</v>
      </c>
      <c r="D47" s="2" t="s">
        <v>105</v>
      </c>
      <c r="E47" s="2"/>
      <c r="F47" s="2"/>
      <c r="G47" s="2"/>
      <c r="H47" s="2"/>
      <c r="I47" s="2"/>
      <c r="J47" s="2">
        <v>1</v>
      </c>
      <c r="K47" s="2" t="b">
        <v>1</v>
      </c>
      <c r="L47" s="2">
        <v>1</v>
      </c>
      <c r="M47" s="2">
        <v>0</v>
      </c>
      <c r="N47" s="2">
        <v>0</v>
      </c>
      <c r="O47" s="2" t="b">
        <v>1</v>
      </c>
    </row>
    <row r="48" spans="1:15" ht="98" x14ac:dyDescent="0.25">
      <c r="A48" s="2" t="s">
        <v>109</v>
      </c>
      <c r="B48" s="2" t="s">
        <v>103</v>
      </c>
      <c r="C48" s="2" t="s">
        <v>104</v>
      </c>
      <c r="D48" s="2" t="s">
        <v>105</v>
      </c>
      <c r="E48" s="2"/>
      <c r="F48" s="2"/>
      <c r="G48" s="2"/>
      <c r="H48" s="2"/>
      <c r="I48" s="2"/>
      <c r="J48" s="2">
        <v>1</v>
      </c>
      <c r="K48" s="2" t="b">
        <v>1</v>
      </c>
      <c r="L48" s="2">
        <v>1</v>
      </c>
      <c r="M48" s="2">
        <v>0</v>
      </c>
      <c r="N48" s="2">
        <v>0</v>
      </c>
      <c r="O48" s="2" t="b">
        <v>1</v>
      </c>
    </row>
    <row r="49" spans="1:15" ht="98" x14ac:dyDescent="0.25">
      <c r="A49" s="2" t="s">
        <v>110</v>
      </c>
      <c r="B49" s="2" t="s">
        <v>103</v>
      </c>
      <c r="C49" s="2" t="s">
        <v>104</v>
      </c>
      <c r="D49" s="2" t="s">
        <v>105</v>
      </c>
      <c r="E49" s="2"/>
      <c r="F49" s="2"/>
      <c r="G49" s="2"/>
      <c r="H49" s="2"/>
      <c r="I49" s="2"/>
      <c r="J49" s="2">
        <v>1</v>
      </c>
      <c r="K49" s="2" t="b">
        <v>1</v>
      </c>
      <c r="L49" s="2">
        <v>1</v>
      </c>
      <c r="M49" s="2">
        <v>0</v>
      </c>
      <c r="N49" s="2">
        <v>0</v>
      </c>
      <c r="O49" s="2" t="b">
        <v>1</v>
      </c>
    </row>
    <row r="50" spans="1:15" ht="126" x14ac:dyDescent="0.25">
      <c r="A50" s="2" t="s">
        <v>111</v>
      </c>
      <c r="B50" s="2" t="s">
        <v>103</v>
      </c>
      <c r="C50" s="2" t="s">
        <v>104</v>
      </c>
      <c r="D50" s="2" t="s">
        <v>105</v>
      </c>
      <c r="E50" s="2"/>
      <c r="F50" s="2"/>
      <c r="G50" s="2"/>
      <c r="H50" s="2"/>
      <c r="I50" s="2"/>
      <c r="J50" s="2">
        <v>1</v>
      </c>
      <c r="K50" s="2" t="b">
        <v>1</v>
      </c>
      <c r="L50" s="2">
        <v>1</v>
      </c>
      <c r="M50" s="2">
        <v>0</v>
      </c>
      <c r="N50" s="2">
        <v>0</v>
      </c>
      <c r="O50" s="2" t="b">
        <v>1</v>
      </c>
    </row>
    <row r="51" spans="1:15" ht="126" x14ac:dyDescent="0.25">
      <c r="A51" s="2" t="s">
        <v>112</v>
      </c>
      <c r="B51" s="2" t="s">
        <v>103</v>
      </c>
      <c r="C51" s="2" t="s">
        <v>104</v>
      </c>
      <c r="D51" s="2" t="s">
        <v>105</v>
      </c>
      <c r="E51" s="2"/>
      <c r="F51" s="2"/>
      <c r="G51" s="2"/>
      <c r="H51" s="2"/>
      <c r="I51" s="2"/>
      <c r="J51" s="2">
        <v>1</v>
      </c>
      <c r="K51" s="2" t="b">
        <v>1</v>
      </c>
      <c r="L51" s="2">
        <v>1</v>
      </c>
      <c r="M51" s="2">
        <v>0</v>
      </c>
      <c r="N51" s="2">
        <v>0</v>
      </c>
      <c r="O51" s="2" t="b">
        <v>1</v>
      </c>
    </row>
    <row r="53" spans="1:15" x14ac:dyDescent="0.25">
      <c r="A53" t="s">
        <v>113</v>
      </c>
      <c r="E53">
        <f>AVERAGEIFS(E2:E51,K2:K51,FALSE)</f>
        <v>0.73809523809523814</v>
      </c>
      <c r="F53">
        <f>AVERAGEIFS(F2:F51,K2:K51,FALSE)</f>
        <v>0.88095238095238093</v>
      </c>
      <c r="G53">
        <f>AVERAGEIFS(G2:G51,K2:K51,FALSE)</f>
        <v>0.9285714285714286</v>
      </c>
      <c r="H53">
        <f>AVERAGEIFS(H2:H51,K2:K51,FALSE)</f>
        <v>0.80714285714285694</v>
      </c>
      <c r="I53">
        <f>AVERAGEIFS(I2:I51,K2:K51,FALSE)</f>
        <v>0.72619047619047616</v>
      </c>
      <c r="J53">
        <f>AVERAGE(J2:J51)</f>
        <v>0.90286</v>
      </c>
      <c r="L53">
        <f>AVERAGE(L2:L51)</f>
        <v>1.96</v>
      </c>
      <c r="M53">
        <f>AVERAGE(M2:M51)</f>
        <v>0.06</v>
      </c>
      <c r="N53">
        <f>AVERAGE(N2:N51)</f>
        <v>0.34</v>
      </c>
    </row>
    <row r="54" spans="1:15" x14ac:dyDescent="0.25">
      <c r="A54" t="s">
        <v>114</v>
      </c>
      <c r="B54" t="s">
        <v>16</v>
      </c>
      <c r="E54">
        <f>AVERAGEIFS(E2:E51,B2:B51,"定义类",K2:K51,FALSE)</f>
        <v>0.91666666666666663</v>
      </c>
      <c r="F54">
        <f>AVERAGEIFS(F2:F51,B2:B51,"定义类",K2:K51,FALSE)</f>
        <v>0.91666666666666663</v>
      </c>
      <c r="G54">
        <f>AVERAGEIFS(G2:G51,B2:B51,"定义类",K2:K51,FALSE)</f>
        <v>0.91666666666666663</v>
      </c>
      <c r="H54">
        <f>AVERAGEIFS(H2:H51,B2:B51,"定义类",K2:K51,FALSE)</f>
        <v>0.91666666666666663</v>
      </c>
      <c r="I54">
        <f>AVERAGEIFS(I2:I51,B2:B51,"定义类",K2:K51,FALSE)</f>
        <v>0.83333333333333337</v>
      </c>
      <c r="J54">
        <f>AVERAGEIF(B2:B51,"定义类",J2:J51)</f>
        <v>0.92283333333333317</v>
      </c>
      <c r="L54">
        <f>AVERAGEIF(B2:B51,"定义类",L2:L51)</f>
        <v>2.25</v>
      </c>
      <c r="M54">
        <f>AVERAGEIF(B2:B51,"定义类",M2:M51)</f>
        <v>0</v>
      </c>
      <c r="N54">
        <f>AVERAGEIF(B2:B51,"定义类",N2:N51)</f>
        <v>0.41666666666666669</v>
      </c>
    </row>
    <row r="55" spans="1:15" x14ac:dyDescent="0.25">
      <c r="A55" t="s">
        <v>115</v>
      </c>
      <c r="B55" t="s">
        <v>41</v>
      </c>
      <c r="E55">
        <f>AVERAGEIFS(E2:E51,B2:B51,"方法细节类",K2:K51,FALSE)</f>
        <v>0.72727272727272729</v>
      </c>
      <c r="F55">
        <f>AVERAGEIFS(F2:F51,B2:B51,"方法细节类",K2:K51,FALSE)</f>
        <v>0.90909090909090906</v>
      </c>
      <c r="G55">
        <f>AVERAGEIFS(G2:G51,B2:B51,"方法细节类",K2:K51,FALSE)</f>
        <v>0.90909090909090906</v>
      </c>
      <c r="H55">
        <f>AVERAGEIFS(H2:H51,B2:B51,"方法细节类",K2:K51,FALSE)</f>
        <v>0.80303030303030287</v>
      </c>
      <c r="I55">
        <f>AVERAGEIFS(I2:I51,B2:B51,"方法细节类",K2:K51,FALSE)</f>
        <v>0.6969727272727273</v>
      </c>
      <c r="J55">
        <f>AVERAGEIF(B2:B51,"方法细节类",J2:J51)</f>
        <v>0.84854545454545449</v>
      </c>
      <c r="L55">
        <f>AVERAGEIF(B2:B51,"方法细节类",L2:L51)</f>
        <v>2.0909090909090908</v>
      </c>
      <c r="M55">
        <f>AVERAGEIF(B2:B51,"方法细节类",M2:M51)</f>
        <v>0.18181818181818182</v>
      </c>
      <c r="N55">
        <f>AVERAGEIF(B2:B51,"方法细节类",N2:N51)</f>
        <v>0.18181818181818182</v>
      </c>
    </row>
    <row r="56" spans="1:15" x14ac:dyDescent="0.25">
      <c r="A56" t="s">
        <v>116</v>
      </c>
      <c r="B56" t="s">
        <v>63</v>
      </c>
      <c r="E56">
        <f>AVERAGEIFS(E2:E51,B2:B51,"实验结果类",K2:K51,FALSE)</f>
        <v>0.63636363636363635</v>
      </c>
      <c r="F56">
        <f>AVERAGEIFS(F2:F51,B2:B51,"实验结果类",K2:K51,FALSE)</f>
        <v>0.72727272727272729</v>
      </c>
      <c r="G56">
        <f>AVERAGEIFS(G2:G51,B2:B51,"实验结果类",K2:K51,FALSE)</f>
        <v>0.90909090909090906</v>
      </c>
      <c r="H56">
        <f>AVERAGEIFS(H2:H51,B2:B51,"实验结果类",K2:K51,FALSE)</f>
        <v>0.71818181818181825</v>
      </c>
      <c r="I56">
        <f>AVERAGEIFS(I2:I51,B2:B51,"实验结果类",K2:K51,FALSE)</f>
        <v>0.68181818181818177</v>
      </c>
      <c r="J56">
        <f>AVERAGEIF(B2:B51,"实验结果类",J2:J51)</f>
        <v>0.89100000000000001</v>
      </c>
      <c r="L56">
        <f>AVERAGEIF(B2:B51,"实验结果类",L2:L51)</f>
        <v>1.8181818181818181</v>
      </c>
      <c r="M56">
        <f>AVERAGEIF(B2:B51,"实验结果类",M2:M51)</f>
        <v>0</v>
      </c>
      <c r="N56">
        <f>AVERAGEIF(B2:B51,"实验结果类",N2:N51)</f>
        <v>0.36363636363636365</v>
      </c>
    </row>
    <row r="57" spans="1:15" x14ac:dyDescent="0.25">
      <c r="A57" t="s">
        <v>117</v>
      </c>
      <c r="B57" t="s">
        <v>86</v>
      </c>
      <c r="E57">
        <f>AVERAGEIFS(E2:E51,B2:B51,"跨论文比较类",K2:K51,FALSE)</f>
        <v>0.625</v>
      </c>
      <c r="F57">
        <f>AVERAGEIFS(F2:F51,B2:B51,"跨论文比较类",K2:K51,FALSE)</f>
        <v>1</v>
      </c>
      <c r="G57">
        <f>AVERAGEIFS(G2:G51,B2:B51,"跨论文比较类",K2:K51,FALSE)</f>
        <v>1</v>
      </c>
      <c r="H57">
        <f>AVERAGEIFS(H2:H51,B2:B51,"跨论文比较类",K2:K51,FALSE)</f>
        <v>0.77083333333333337</v>
      </c>
      <c r="I57">
        <f>AVERAGEIFS(I2:I51,B2:B51,"跨论文比较类",K2:K51,FALSE)</f>
        <v>0.66666249999999994</v>
      </c>
      <c r="J57">
        <f>AVERAGEIF(B2:B51,"跨论文比较类",J2:J51)</f>
        <v>0.86674999999999991</v>
      </c>
      <c r="L57">
        <f>AVERAGEIF(B2:B51,"跨论文比较类",L2:L51)</f>
        <v>2.5</v>
      </c>
      <c r="M57">
        <f>AVERAGEIF(B2:B51,"跨论文比较类",M2:M51)</f>
        <v>0.125</v>
      </c>
      <c r="N57">
        <f>AVERAGEIF(B2:B51,"跨论文比较类",N2:N51)</f>
        <v>0.75</v>
      </c>
    </row>
    <row r="58" spans="1:15" x14ac:dyDescent="0.25">
      <c r="A58" t="s">
        <v>118</v>
      </c>
      <c r="B58" t="s">
        <v>103</v>
      </c>
      <c r="E58" t="e">
        <f>AVERAGEIFS(E2:E51,B2:B51,"不可回答类",K2:K51,FALSE)</f>
        <v>#DIV/0!</v>
      </c>
      <c r="F58" t="e">
        <f>AVERAGEIFS(F2:F51,B2:B51,"不可回答类",K2:K51,FALSE)</f>
        <v>#DIV/0!</v>
      </c>
      <c r="G58" t="e">
        <f>AVERAGEIFS(G2:G51,B2:B51,"不可回答类",K2:K51,FALSE)</f>
        <v>#DIV/0!</v>
      </c>
      <c r="H58" t="e">
        <f>AVERAGEIFS(H2:H51,B2:B51,"不可回答类",K2:K51,FALSE)</f>
        <v>#DIV/0!</v>
      </c>
      <c r="I58" t="e">
        <f>AVERAGEIFS(I2:I51,B2:B51,"不可回答类",K2:K51,FALSE)</f>
        <v>#DIV/0!</v>
      </c>
      <c r="J58">
        <f>AVERAGEIF(B2:B51,"不可回答类",J2:J51)</f>
        <v>1</v>
      </c>
      <c r="L58">
        <f>AVERAGEIF(B2:B51,"不可回答类",L2:L51)</f>
        <v>1</v>
      </c>
      <c r="M58">
        <f>AVERAGEIF(B2:B51,"不可回答类",M2:M51)</f>
        <v>0</v>
      </c>
      <c r="N58">
        <f>AVERAGEIF(B2:B51,"不可回答类",N2:N51)</f>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2026-06-09T07:58:43Z</dcterms:created>
  <dcterms:modified xsi:type="dcterms:W3CDTF">2026-06-10T13:30:19Z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d7a50152-cfa7-47da-b4c7-43fb87400f73</vt:lpwstr>
  </property>
</Properties>
</file>