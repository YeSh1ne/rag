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E733C1EC-8EC8-4B8C-B604-60DE0844B08D}"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<sst xmlns="http://schemas.openxmlformats.org/spreadsheetml/2006/main" count="226" uniqueCount="162">
  <si>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</si>
  <si>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</si>
  <si>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</si>
  <si>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</si>
  <si>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</si>
  <si>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</si>
  <si>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</si>
  <si>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</si>
  <si>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</si>
  <si>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</si>
  <si>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</si>
  <si>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</si>
  <si>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</si>
  <si>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</si>
  <si>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</si>
  <si>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</si>
  <si>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</si>
  <si>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</si>
  <si>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作者将post-training scaling分为三个主要方法：监督微调（Supervised Fine-tuning）、强化学习（Reinforcement Learning）和测试时计算（Test-time Compute）。
来自: [2025.acl-long.140_A Survey of Post-Training Scaling in Large Language Models, 第2页, 2025.acl-long.140_A Survey of Post-Training Scaling in Large Language Models_chunk_005]</t>
  </si>
  <si>
    <t>在SafeRAG中"silver noise"的定义是什么？</t>
  </si>
  <si>
    <t>首先，我们定义了“银色噪声”，它指的是仅部分包含答案的证据文本。此类噪声能够绕过大多数安全过滤机制，从而削弱 RAG 的多样性。</t>
  </si>
  <si>
    <t>在SafeRAG中，silver noise是指包含部分但不完整答案的噪声。
来自: [2025.acl-long.230_SafeRAG, 第4页, 2025.acl-long.230_SafeRAG_chunk_009]</t>
  </si>
  <si>
    <t>RAG噪声被分为哪两类？</t>
  </si>
  <si>
    <t>RAG噪声被分为有益噪声和有害噪声。</t>
  </si>
  <si>
    <t>RAG噪声被分为有益噪声（beneficial noise）和有害噪声（harmful noise）。
来自: [2025.acl-long.250_Pandora s Box or Aladdin s Lamp, 第2页, 2025.acl-long.250_Pandora s Box or Aladdin s Lamp_chunk_005]</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</si>
  <si>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</si>
  <si>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</si>
  <si>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Ref-Long是一个评估长上下文语言模型（LCLMs）的长上下文引用能力的基准，要求模型识别引用特定键的文档索引，强调键与文档间的上下文关系而非简单检索。
来自: [2025.acl-long.1162_Ref-Long, 第1页, 2025.acl-long.1162_Ref-Long_chunk_000]</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</si>
  <si>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</si>
  <si>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</si>
  <si>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SYNQA是一种生成式数据合成策略，通过给定选定的上下文句子，让大语言模型生成由这些句子完全支持的问题-答案对，用于训练上下文归因模型。
来自: [2025.acl-long.828_On Synthesizing Data for Context Attribution in Question Answering, 第3页, 2025.acl-long.828_On Synthesizing Data for Context Attribution in Question Answering_chunk_005]</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</si>
  <si>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</si>
  <si>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</si>
  <si>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AgenticLU是一个旨在通过将有针对性的自我澄清与上下文 grounding 集成到 agentic 工作流中来增强大语言模型对长上下文查询理解的框架。
来自: [2025.acl-long.275_Self-Taught Agentic Long Context Understanding, 第1页, 2025.acl-long.275_Self-Taught Agentic Long Context Understanding_chunk_000]</t>
  </si>
  <si>
    <t>什么是Agentic Reasoning框架?</t>
  </si>
  <si>
    <t>Agentic Reasoning是一个通过集成外部工具使用代理来增强大型语言模型推理的框架。</t>
  </si>
  <si>
    <t>Agentic Reasoning 是一个通过将外部基于大语言模型的智能体作为工具集成到推理过程中来增强推理能力的框架。
来自: [2025.acl-long.1383_Agentic Reasoning, 第2页, 2025.acl-long.1383_Agentic Reasoning_chunk_003]</t>
  </si>
  <si>
    <t>REAL-MM-RAG 基准测试旨在解决现实世界检索的四个关键属性是什么？</t>
  </si>
  <si>
    <t xml:space="preserve"> REAL-MM-RAG基准测试的四个关键属性是：(i) 多模态文档，(ii) 增强的难度，(iii) 真实的RAG查询，(iv) 准确的标注。</t>
  </si>
  <si>
    <t>REAL-MM-RAG 基准测试旨在解决四个关键属性：多模态文档、增强难度、现实 RAG 查询和准确标注。
来自: [2025.acl-long.1528_REAL-MM-RAG, 第1页, 2025.acl-long.1528_REAL-MM-RAG_chunk_000]</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</si>
  <si>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</si>
  <si>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</si>
  <si>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ASTUTE RAG是一种新颖的检索增强生成方法，旨在使LLM对不完美检索增强具有鲁棒性，同时保留可靠检索时的基础效应。它自适应地提取LLM内部知识，迭代地整合内部和外部知识，并基于信息可靠性最终确定答案。其用途是克服不完美检索增强和知识冲突，提高RAG系统的可靠性和可信度。
来自: [2025.acl-long.1476_Astute RAG, 第2页, 2025.acl-long.1476_Astute RAG_chunk_004] 和 [2025.acl-long.1476_Astute RAG, 第4页, 2025.acl-long.1476_Astute RAG_chunk_008]</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</si>
  <si>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</si>
  <si>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</si>
  <si>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L-CiteEval 是一个开箱即用的评估套件，用于评估长上下文模型在长上下文理解任务中的生成质量和忠实度，要求模型同时生成陈述及其支持证据（引用）。
来自: [2025.acl-long.263_L-CiteEval, 第1页, 2025.acl-long.263_L-CiteEval_chunk_002]</t>
  </si>
  <si>
    <t xml:space="preserve"> LongBench v2基准测试包含多少个问题？上下文长度范围是多少？</t>
  </si>
  <si>
    <t>LongBench v2包含503个具有挑战性的多项选择题，上下文长度范围从8,000到200万个单词。</t>
  </si>
  <si>
    <t>LongBench v2包含503个多项选择题，上下文长度范围从8k到2M词。
来自: [2025.acl-long.183_LongBench v2, 第1页, 2025.acl-long.183_LongBench v2_chunk_002]</t>
  </si>
  <si>
    <t>RHIO框架的三个主要组成部分是什么？</t>
  </si>
  <si>
    <t>RHIO框架包含三个主要组件：1.不忠实数据增强, 2.忠实度感知调优, 3.自诱导解码</t>
  </si>
  <si>
    <t>RHIO框架的三个主要组成部分是：不忠实数据增强（unfaithful data augmentation）、忠实感知调优（faithfulness-aware tuning）和自我诱导解码（self-induced decoding）。
来自: [2025.acl-long.826_Improving Contextual Faithfulness of Large Language Models via Retrieval Heads-Induced Optimization, 第15页, 2025.acl-long.826_Improving Contextual Faithfulness of Large Language Models via Retrieval Heads-Induced Optimization_chunk_030]</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</si>
  <si>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</si>
  <si>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</si>
  <si>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</si>
  <si>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作者发现，使用标准的短上下文指令数据集（standard, short-context instruction datasets）进行监督微调，即可在长上下文任务上取得最佳性能，而长合成指令数据并未带来额外提升。
来自: [2025.acl-long.366_How to Train Long-Context Language Models (Effectively), 第1页, 2025.acl-long.366_How to Train Long-Context Language Models (Effectively)_chunk_002]</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</si>
  <si>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</si>
  <si>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</si>
  <si>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ASTUTE RAG 的三个主要步骤为：自适应生成内部知识（adaptive generation of internal knowledge）、源感知的知识整合（source-aware knowledge consolidation）和答案最终确定（answer finalization）。
来自: [2025.acl-long.1476_Astute RAG, 第4页, 2025.acl-long.1476_Astute RAG_chunk_008]</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</si>
  <si>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</si>
  <si>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</si>
  <si>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DRAG框架如何保护用户隐私？请描述其隐私保护机制。</t>
  </si>
  <si>
    <t>DRAG通过传输去标识化的查询和结构化知识而不是完整响应来保护用户隐私。这样可以避免传输完整的用户查询和敏感信息。</t>
  </si>
  <si>
    <t>DRAG框架通过一种本地与云端协作的机制来保护用户隐私。具体而言，本地的小型模型（SLM）会先对用户的原始查询进行改写，剥离其中的敏感信息，然后将这个去标识化的查询发送到云端的大型模型。云端模型仅负责检索相关的证据和知识图谱，并将这些结构化知识传回本地。最终，由本地模型利用这些知识生成最终答案。整个过程确保了用户的私有数据不会直接暴露给云端，在利用大模型能力的同时保护了隐私。
来自: [2025.acl-long.358_DRAG, 第5页, 2025.acl-long.358_DRAG_chunk_010]
来自: [2025.acl-long.358_DRAG, 第1页, 2025.acl-long.358_DRAG_chunk_001]</t>
  </si>
  <si>
    <t>简述 Think&amp; Cite 框架中 SG-MCTS 的工作流程及其步骤。</t>
  </si>
  <si>
    <t>SG-MCTS利用LLMs的自反思能力来推理MCTS的中间状态，以指导树扩展过程。在每次迭代中，SG-MCTS 遵循四个步骤，即选择、反思引导的扩展、评估和反向传播。</t>
  </si>
  <si>
    <t>SG-MCTS 将属性文本生成建模为多步推理问题，构建搜索树，每次迭代执行四个阶段：**选择**（用 UCT 算法选出最优节点）、**反思引导的扩展**（通过 think-verbalize-cite 循环生成下一句，并利用 LLM 的自我反思能力对中间状态进行批评和细化，主动避免错误路径）、**评估**（用进度奖励模型从生成进度和归因进度两方面计算奖励）和**回传**（将奖励沿路径向上更新节点值）。
来自: [2025.acl-long.490_Think&amp;Cite, 第3页, 2025.acl-long.490_Think&amp;Cite_chunk_006]  
来自: [2025.acl-long.490_Think&amp;Cite, 第4页, 2025.acl-long.490_Think&amp;Cite_chunk_008]  
来自: [2025.acl-long.490_Think&amp;Cite, 第7页, 2025.acl-long.490_Think&amp;Cite_chunk_021]</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</si>
  <si>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</si>
  <si>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</si>
  <si>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SETR 的段落选择提示引导的关键过程包含三个步骤：
1. 枚举回答查询所需的关键信息需求；
2. 为每个信息需求找到包含相关信息的段落；
3. 选择一组段落，使其共同提供最全面且多样化的信息覆盖，以有效回答查询。
来自: [2025.acl-long.861_Shifting from Ranking to Set Selection for Retrieval Augmented Generation, 第3页, 2025.acl-long.861_Shifting from Ranking to Set Selection for Retrieval Augmented Generation_chunk_006]</t>
  </si>
  <si>
    <t>Meta-Bench基准测试中，α参数的最优范围是多少？这个参数的作用是什么？</t>
  </si>
  <si>
    <t>α参数的最优范围在0.65到0.8之间。这个参数用于平衡工具描述和参数描述在工具检索中的权重。</t>
  </si>
  <si>
    <t>α参数的最优范围在0.65到0.8之间。该参数用于平衡工具描述与参数描述在工具检索性能中的权重，两者对元工具性能均有贡献，但工具描述的作用相对更大。
来自: [2025.acl-long.1481_Meta-Tool, 第20页, 2025.acl-long.1481_Meta-Tool_chunk_033]</t>
  </si>
  <si>
    <t>CypherBench 是如何从 RDF 图生成领域特定属性图的？</t>
  </si>
  <si>
    <t>CypherBench 通过将 RDF 图转换为多个领域特定的属性图（domain-specific property graphs）来实现这一过程，并使用 Cypher 语言对其进行查询。</t>
  </si>
  <si>
    <t>CypherBench 通过执行 SPARQL 查询并聚合结果，将 RDF 图转换为多个领域特定的属性图，而非处理整个 RDF 转储；转换层还负责数据类型转换和单位标准化，生成模式强制、严格类型的数据。
来自: [2025.acl-long.438_CypherBench, 第4页, 2025.acl-long.438_CypherBench_chunk_007]</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</si>
  <si>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</si>
  <si>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</si>
  <si>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ClinRaGen的三阶段理由蒸馏范式为：第一阶段从医疗笔记中蒸馏理由，使小语言模型建立对文本临床信息的基础理解；第二阶段引入知识增强注意力，对齐数值实验室测试与结构化医学知识，以蒸馏实验室测试理由；第三阶段完全整合文本和数值输入，使模型生成临床连贯的多模态理由。
来自: [2025.acl-long.540_Knowledge-Augmented Multimodal Clinical Rationale Generation for Disease Diagnosis with Small Language Models, 第4页, 2025.acl-long.540_Knowledge-Augmented Multimodal Clinical Rationale Generation for Disease Diagnosis with Small Language Models_chunk_008]</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</si>
  <si>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</si>
  <si>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</si>
  <si>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QAEncoder采用查询中心视角，通过生成多样化查询（如5W1H）并用蒙特卡洛方法估计潜在查询的簇中心，以该簇中心替代文档嵌入来弥合文档-查询差距；同时引入文档指纹策略，重新注入文档的独特身份信息，以解决由此带来的文档区分度下降问题。
来自: [2025.acl-long.217_QAEncoder, 第1页, 2025.acl-long.217_QAEncoder_chunk_003] 和 [2025.acl-long.217_QAEncoder, 第2页, 2025.acl-long.217_QAEncoder_chunk_004]</t>
  </si>
  <si>
    <t>在 HALOGEN 的文本简化任务中，如何验证模型生成的简化文本是否忠实于原文？</t>
  </si>
  <si>
    <t>先用 GPT-3.5-turbo 将简化文本分解为独立的原子事实，再用 Llama-2-70B-chat 判断每个原子事实是否被原文蕴含。</t>
  </si>
  <si>
    <t>在 HALOGEN 的文本简化任务中，验证流程与摘要任务相同：先使用 GPT-3.5 将模型生成的简化文本分解为独立事实，再使用 Llama-2-70B 对每个原子事实进行蕴含判断，以确定其是否忠实于原文。
来自: [2025.acl-long.71_HALoGEN, 第3页, 2025.acl-long.71_HALoGEN_chunk_006]</t>
  </si>
  <si>
    <t>在"CiteEval"论文中，GPT-4o和Llama-3-70B在Cited scenario和Full scenario下的表现有何差异？</t>
  </si>
  <si>
    <t>实验结果类</t>
  </si>
  <si>
    <t>在Cited scenario下，GPT-4o表现最佳，Llama-3-70B与GPT-4o-mini相当；在Full scenario下，Llama-3-70B超越GPT-4o，取得最佳性能。</t>
  </si>
  <si>
    <t>在Cited scenario中，GPT-4o是表现最好的模型，Llama-3-70b与GPT-4o-mini表现相当；而在Full scenario中，Llama-3-70b优于GPT-4o，取得了最佳性能。
来自: [2025.acl-long.1574_CiteEval, 第7页, 2025.acl-long.1574_CiteEval_chunk_018]</t>
  </si>
  <si>
    <t>"FaithfulRAG"在FaithEval数据集上使用Mistral-7B作为backbone时的准确率是多少？相比最强基线提高了多少？</t>
  </si>
  <si>
    <t>81.7%，比最强基线(KRE的73.2%)提高了8.5%。</t>
  </si>
  <si>
    <t>在FaithEval数据集上，FaithfulRAG使用Mistral-7B作为backbone时的准确率为81.7%，相比最强基线（KRE的73.2%）提高了8.5%。
来自: [2025.acl-long.1062_FaithfulRAG, 第7页, 2025.acl-long.1062_FaithfulRAG_chunk_019]</t>
  </si>
  <si>
    <t>RankCoT 相对于 vanilla RAG 模型的表现如何？这说明了什么？</t>
  </si>
  <si>
    <t>RankCoT 相比 vanilla RAG 模型有 2.5% 的提升，表明它在提供更有意义的细化方面有效，有助于 LLM 更好地回答问题。</t>
  </si>
  <si>
    <t>RankCoT 在多个数据集上均优于 vanilla RAG 模型，平均准确率提升约 2.5%（例如在 NQ、HotpotQA、TriviaQA 上，RankCoT 达到 54.93，而 vanilla RAG 为 52.65）。此外，RankCoT 在不同规模的 LLM（如 MiniCPM3-4B 和 Qwen2.5-14B-Instruct）上分别带来 7.6% 和 4.1% 的提升。这说明 RankCoT 能够有效提炼检索到的知识，帮助 LLM 更好地利用外部信息，并且具有较强的泛化能力，适用于不同配置的 RAG 系统。
来自: [2025.acl-long.629_RankCoT, 第6页, 2025.acl-long.629_RankCoT_chunk_018] 和 [2025.acl-long.629_RankCoT, 第9页, 2025.acl-long.629_RankCoT_chunk_025]</t>
  </si>
  <si>
    <t>在 HALoGEN 基准测试中，表现最好的 LLM 生成事实的幻觉率范围是多少？</t>
  </si>
  <si>
    <t>实验发现，即使是表现最好的 LLM，其生成事实的幻觉率也在 3% 到 86% 之间，具体数值取决于所属领域。</t>
  </si>
  <si>
    <t>在 HALoGEN 基准测试中，表现最好的 LLM（GPT-4）生成事实的幻觉率范围是 3% 到 86%，具体取决于任务。
来自: [2025.acl-long.71_HALoGEN, 第1页, 2025.acl-long.71_HALoGEN_chunk_001]</t>
  </si>
  <si>
    <t xml:space="preserve"> 在LongBench v2基准测试中，人类专家在15分钟时间限制下的准确率是多少？</t>
  </si>
  <si>
    <t>人类专家在15分钟时间限制下的准确率为53.7%。</t>
  </si>
  <si>
    <t>人类专家在15分钟时间限制下的准确率为53.7%。
来自: [2025.acl-long.183_LongBench v2, 第1页, 2025.acl-long.183_LongBench v2_chunk_000]</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</si>
  <si>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</si>
  <si>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</si>
  <si>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AGENTSTAR在WebShop、ALFWorld和BabyAI任务上分别比GPT-4-Turbo高出61.00、20.50和9.87个点。
来自: [2025.acl-long.1355_AgentGym, 第7页, 2025.acl-long.1355_AgentGym_chunk_020]</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</si>
  <si>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</si>
  <si>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</si>
  <si>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在Humanity's Last Exam数据集上，Agentic Reasoning与DeepSeek-R1结合后，准确率从9.4%提升至23.8%，提升了14.4个百分点。与OpenAI Deep Research的差距从原来的17.2%缩小至仅2.8%。
来自: [2025.acl-long.1383_Agentic Reasoning, 第1页, 2025.acl-long.1383_Agentic Reasoning_chunk_002]</t>
  </si>
  <si>
    <t>在GAIA基准测试中，Agentic Reasoning在不同级别任务上的表现如何？</t>
  </si>
  <si>
    <t>在GAIA基准测试中，Agentic Reasoning在Level 1和Level 2任务上超越了OpenAI的Deep Research，在Level 3任务上将差距缩小到2.26%。</t>
  </si>
  <si>
    <t>在GAIA基准测试中，Agentic Reasoning在Level 1上的得分为74.36，Level 2为69.21，Level 3为45.46，平均分为66.13。
来自: [2025.acl-long.1383_Agentic Reasoning, 第5页, 2025.acl-long.1383_Agentic Reasoning_chunk_010]</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</si>
  <si>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</si>
  <si>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</si>
  <si>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Asclepius基准测试中，人类医生在所有专科上的诊断准确率均优于Med-MLLMs。即使是最优秀的Med-MLLM（GPT-4V，平均准确率54.3%），也略低于初级医生的57.4%。GPT-4V的表现与初级医生最为接近，但整体上所有Med-MLLMs的平均准确率均低于人类医生，其中Meta Doctor（综合多位专科医生结果）的平均准确率最高（0.689）。
来自: [2025.acl-long.1178_Asclepius, 第7页, 2025.acl-long.1178_Asclepius_chunk_016] [2025.acl-long.1178_Asclepius, 第14页, 2025.acl-long.1178_Asclepius_chunk_022]</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</si>
  <si>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</si>
  <si>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</si>
  <si>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在LongDocURL基准测试中，GPT-4o得分64.5，是唯一达到及格标准的模型；开源模型中，Qwen2-VL得分30.6，LLaVA-OneVision得分22.0和25.0。
来自: [2025.acl-long.57_LongDocURL, 第6页, 2025.acl-long.57_LongDocURL_chunk_013]</t>
  </si>
  <si>
    <t>RAGEval 提出的自动评估指标与人工评估的一致性如何？</t>
  </si>
  <si>
    <t>实验结果表明，RAGEval 的机器自动评估与人工评估在所有指标上均表现出高度一致性。两者之间的最终绝对差异仅为 1.67%。</t>
  </si>
  <si>
    <t>RAGEval 使用 LLM 对提出的 Completeness、Hallucination 和 Irrelevance 指标进行评分，结果显示与人工评估具有高度一致性。
来自: [2025.acl-long.418_RAGEval, 第1页, 2025.acl-long.418_RAGEval_chunk_000]</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</si>
  <si>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</si>
  <si>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</si>
  <si>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</si>
  <si>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《Astute RAG》采用“自适应内部知识生成”（adaptive generation of internal knowledge）模块，通过迭代方式从LLM内部知识中动态提取关键信息。  
《FaithfulRAG》采用“自我事实挖掘”（Self-Fact Mining）模块，通过“自我知识提取—自我上下文生成—自我事实提取”三阶段层次化过程，将LLM的参数化知识外化为细粒度的事实表示。
来自: [2025.acl-long.1476_Astute RAG, 第4页, 2025.acl-long.1476_Astute RAG_chunk_008]  
来自: [2025.acl-long.1062_FaithfulRAG, 第4页, 2025.acl-long.1062_FaithfulRAG_chunk_010]</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</si>
  <si>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</si>
  <si>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</si>
  <si>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UniRAG 的核心创新在于将查询增强与编码统一到一个解码器模型中，消除了任务分离带来的信息共享障碍和累积误差，并能根据用户查询自适应选择最优的增强策略（如查询改写、扩展或抽象）。FaithfulRAG 的核心创新则聚焦于事实层面的知识冲突解决，通过自事实挖掘将模型参数知识具体化，再通过自思考模块让模型在生成前推理并整合冲突事实，从而在保持忠实性的同时避免误解上下文。
来自: [2025.acl-long.693_UniRAG, 第1页, 2025.acl-long.693_UniRAG_chunk_000]
来自: [2025.acl-long.1062_FaithfulRAG, 第2页, 2025.acl-long.1062_FaithfulRAG_chunk_005]</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</si>
  <si>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</si>
  <si>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</si>
  <si>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MEMERAG和DragonBall都是用于评估RAG系统的多语言基准，但设计目标和评估维度不同。  
**相同点**：两者均覆盖多语言（MEMERAG涵盖英、德、西、法、印地语；DragonBall涵盖中、英文），且都关注生成答案的质量评估。  
**不同点**：  
- MEMERAG是面向自动评估器的**元评估基准**，基于MIRACL的原生问题构建，避免翻译偏差，强调跨语言评估的可靠性。  
- DragonBall是面向**场景特定**的基准，通过自动生成方法构建，覆盖金融、法律、医疗等领域，并引入基于关键点的评估指标。  
**评估维度**：  
- MEMERAG关注**忠实度（Faithfulness）**和**相关性（Relevance）**。  
- DragonBall关注**完整性（Completeness）**、**幻觉（Hallucination）**和**无关性（Irrelevance）**。
来自: [2025.acl-long.1101_MEMERAG, 第3页, 2025.acl-long.1101_MEMERAG_chunk_007]  
来自: [2025.acl-long.1101_MEMERAG, 第1页, 2025.acl-long.1101_MEMERAG_chunk_002]  
来自: [2025.acl-long.418_RAGEval, 第4页, 2025.acl-long.418_RAGEval_chunk_008]  
来自: [2025.acl-long.418_RAGEval, 第2页, 2025.acl-long.418_RAGEval_chunk_002]</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</si>
  <si>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</si>
  <si>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</si>
  <si>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SYNQA 通过**给定上下文句子，让 LLM 生成完全由这些句子支持的问答对**来合成训练数据。具体而言，它从 Wikipedia 中选取句子，要求 LLM 生成问题-答案对，并确保答案只能由这些句子支撑，从而在合成数据中建立清晰的归因路径。  
RHIO 则通过**选择性遮蔽检索头**来生成不忠实的样本，模拟模型内在的错误，然后将这些样本与忠实样本一起用于联合训练，使模型学会区分忠实与不忠实的生成。
两种策略在提升模型归因能力上的不同在于：  
- **SYNQA 是一种外部数据合成策略**，它利用 LLM 的生成能力构建大规模、多样化的归因训练数据，用于微调小型归因模型，从而提升模型在上下文归因任务上的准确性和泛化能力，尤其在不依赖人工标注的情况下实现强泛化。  
- **RHIO 是一种内部机制驱动的优化策略**，它通过操纵模型自身的检索头来构造对比样本，直接优化 LLM 本身的生成忠实度，使模型在生成时能更可靠地依据上下文，而非依赖外部归因模型。
来自: [2025.acl-long.828_On Synthesizing Data for Context Attribution in Question Answering, 第2页, 2025.acl-long.828_On Synthesizing Data for Context Attribution in Question Answering_chunk_003]；[2025.acl-long.828_On Synthesizing Data for Context Attribution in Question Answering, 第1页, 2025.acl-long.828_On Synthesizing Data for Context Attribution in Question Answering_chunk_001]；[2025.acl-long.828_On Synthesizing Data for Context Attribution in Question Answering, 第3页, 2025.acl-long.828_On Synthesizing Data for Context Attribution in Question Answering_chunk_005]；[2025.acl-long.826_Improving Contextual Faithfulness of Large Language Models via Retrieval Heads-Induced Optimization, 第1页, 2025.acl-long.826_Improving Contextual Faithfulness of Large Language Models via Retrieval Heads-Induced Optimization_chunk_001]</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</si>
  <si>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</si>
  <si>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</si>
  <si>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LongBench v2 是一个静态基准测试，专注于评估大语言模型在真实长上下文场景下的深度理解与推理能力，涵盖单/多文档问答、长对话历史理解、代码仓库理解等任务。AGENTGYM 则是一个交互式框架，用于在网页导航、文字游戏、具身任务、工具使用等多样化环境中评估和训练基于大语言模型的智能体，支持多轮交互、实时反馈和自我改进。
来自: [2025.acl-long.183_LongBench v2, 第1页, 2025.acl-long.183_LongBench v2_chunk_000]；[2025.acl-long.183_LongBench v2, 第1页, 2025.acl-long.183_LongBench v2_chunk_002]；[2025.acl-long.1355_AgentGym, 第1页, 2025.acl-long.1355_AgentGym_chunk_001]；[2025.acl-long.1355_AgentGym, 第1页, 2025.acl-long.1355_AgentGym_chunk_002]；[2025.acl-long.1355_AgentGym, 第4页, 2025.acl-long.1355_AgentGym_chunk_008]</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</si>
  <si>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</si>
  <si>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</si>
  <si>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Agentic Reasoning 通过集成外部 LLM 代理工具（包括 Web-Search、Coding 和 Mind-Map）来增强推理能力；AR-MCTS 则通过主动检索（Active Retrieval）和蒙特卡洛树搜索（MCTS）机制，并结合过程奖励模型进行步骤级验证，来提升复杂多模态推理能力。
来自: [2025.acl-long.1383_Agentic Reasoning, 第2页, 2025.acl-long.1383_Agentic Reasoning_chunk_004]
来自: [2025.acl-long.180_Progressive Multimodal Reasoning via Active Retrieval, 第1页, 2025.acl-long.180_Progressive Multimodal Reasoning via Active Retrieval_chunk_000]</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</si>
  <si>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</si>
  <si>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</si>
  <si>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MAIN-RAG 采用的核心方法是训练无关的多智能体协同过滤，通过多个LLM代理对检索文档进行评分和筛选，并引入自适应阈值机制动态调整相关性门槛，以降低噪声、提升生成可靠性。  
RAG-Critic 采用的核心方法是基于批评模型引导的智能体工作流，通过数据驱动的错误挖掘构建层次化错误体系，训练错误批评模型实现自动化细粒度错误反馈，并据此定制执行方案进行错误导向的修正。
来自: [2025.acl-long.131_MAIN-RAG, 第1页, 2025.acl-long.131_MAIN-RAG_chunk_004]、[2025.acl-long.131_MAIN-RAG, 第6页, 2025.acl-long.131_MAIN-RAG_chunk_015]、[2025.acl-long.179_RAG-Critic, 第9页, 2025.acl-long.179_RAG-Critic_chunk_020]、[2025.acl-long.179_RAG-Critic, 第8页, 2025.acl-long.179_RAG-Critic_chunk_017]</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</si>
  <si>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</si>
  <si>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</si>
  <si>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QAEncoder侧重于优化QA系统的**检索阶段**，其核心痛点是**文档与查询之间的语义差距（document-query gap）**，即文档表示与用户查询在语义空间中的不匹配问题。
来自: [2025.acl-long.217_QAEncoder, 第1页, 2025.acl-long.217_QAEncoder_chunk_003]、[2025.acl-long.217_QAEncoder, 第2页, 2025.acl-long.217_QAEncoder_chunk_004]
On Synthesizing Data for Context Attribution in Question Answering侧重于优化QA系统的**生成后验证/归因阶段**，其核心痛点是**上下文归因（context attribution）对昂贵人工标注数据的依赖**，以及如何提升归因的鲁棒性和实用性。
来自: [2025.acl-long.828_On Synthesizing Data for Context Attribution in Question Answering, 第9页, 2025.acl-long.828_On Synthesizing Data for Context Attribution in Question Answering_chunk_024]、[2025.acl-long.828_On Synthesizing Data for Context Attribution in Question Answering, 第9页, 2025.acl-long.828_On Synthesizing Data for Context Attribution in Question Answering_chunk_023]</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</si>
  <si>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</si>
  <si>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</si>
  <si>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</si>
  <si>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</si>
  <si>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</si>
  <si>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</si>
  <si>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</si>
  <si>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</si>
  <si>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</si>
  <si>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</si>
  <si>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</si>
  <si>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LongRefiner 通过将推理过程拆分为离线和在线两个阶段来降低在线延迟。在离线阶段，模型预先对语料库中的文档执行层次化文档结构化任务；在在线阶段，模型仅需处理用户的查询分析及自适应精炼，由于在线阶段只涉及处理数百个输入 token 和生成数十个输出 token，整体延迟仅为标准设置下的约 25%。此外，该方法采用任务特定的 LoRA 模块，每个模块参数仅占总参数的 0.03%，支持即插即用的任务切换，进一步保证了推理效率。
来自: [2025.acl-long.176_Hierarchical Document Refinement for Long-context Retrieval-augmented Generation, 第6页, 2025.acl-long.176_Hierarchical Document Refinement for Long-context Retrieval-augmented Generation_chunk_013; 第5页, 2025.acl-long.176_Hierarchical Document Refinement for Long-context Retrieval-augmented Generation_chunk_010]</t>
    <phoneticPr fontId="2" type="noConversion"/>
  </si>
  <si>
    <t>【总体平均值】</t>
  </si>
  <si>
    <t>【定义类平均值】</t>
  </si>
  <si>
    <t>【方法细节类平均值】</t>
  </si>
  <si>
    <t>【实验结果类平均值】</t>
  </si>
  <si>
    <t>【跨论文比较类平均值】</t>
  </si>
  <si>
    <t>【不可回答类平均值】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</si>
</sst>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50" workbookViewId="0">
      <selection activeCell="I53" sqref="I53"/>
    </sheetView>
  </sheetViews>
  <sheetFormatPr defaultRowHeight="14" x14ac:dyDescent="0.25"/>
  <cols>
    <col min="1" max="1" width="22.26953125" style="2" customWidth="1"/>
    <col min="2" max="2" width="8.1796875" style="2" customWidth="1"/>
    <col min="3" max="4" width="22.2695312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409.5" x14ac:dyDescent="0.25">
      <c r="A2" s="2" t="s">
        <v>15</v>
      </c>
      <c r="B2" s="2" t="s">
        <v>16</v>
      </c>
      <c r="C2" s="2" t="s">
        <v>17</v>
      </c>
      <c r="D2" s="2" t="s">
        <v>18</v>
      </c>
      <c r="E2" s="2">
        <v>1</v>
      </c>
      <c r="F2" s="2">
        <v>1</v>
      </c>
      <c r="G2" s="2">
        <v>1</v>
      </c>
      <c r="H2" s="2">
        <v>1</v>
      </c>
      <c r="I2" s="4">
        <v>1</v>
      </c>
      <c r="J2" s="2">
        <v>1</v>
      </c>
      <c r="K2" s="2" t="b">
        <v>0</v>
      </c>
      <c r="L2" s="2">
        <v>3</v>
      </c>
      <c r="M2" s="2">
        <v>0</v>
      </c>
      <c r="N2" s="2">
        <v>0</v>
      </c>
    </row>
    <row r="3" spans="1:15" ht="294" x14ac:dyDescent="0.25">
      <c r="A3" s="2" t="s">
        <v>19</v>
      </c>
      <c r="B3" s="2" t="s">
        <v>16</v>
      </c>
      <c r="C3" s="2" t="s">
        <v>20</v>
      </c>
      <c r="D3" s="2" t="s">
        <v>21</v>
      </c>
      <c r="E3" s="2">
        <v>0</v>
      </c>
      <c r="F3" s="2">
        <v>0</v>
      </c>
      <c r="G3" s="2">
        <v>0</v>
      </c>
      <c r="H3" s="2">
        <v>0</v>
      </c>
      <c r="I3" s="4">
        <v>0</v>
      </c>
      <c r="J3" s="2">
        <v>1</v>
      </c>
      <c r="K3" s="2" t="b">
        <v>0</v>
      </c>
      <c r="L3" s="2">
        <v>1</v>
      </c>
      <c r="M3" s="2">
        <v>0</v>
      </c>
      <c r="N3" s="2">
        <v>0</v>
      </c>
    </row>
    <row r="4" spans="1:15" ht="409.5" x14ac:dyDescent="0.25">
      <c r="A4" s="2" t="s">
        <v>22</v>
      </c>
      <c r="B4" s="2" t="s">
        <v>16</v>
      </c>
      <c r="C4" s="2" t="s">
        <v>23</v>
      </c>
      <c r="D4" s="2" t="s">
        <v>24</v>
      </c>
      <c r="E4" s="2">
        <v>1</v>
      </c>
      <c r="F4" s="2">
        <v>1</v>
      </c>
      <c r="G4" s="2">
        <v>1</v>
      </c>
      <c r="H4" s="2">
        <v>1</v>
      </c>
      <c r="I4" s="4">
        <v>1</v>
      </c>
      <c r="J4" s="2">
        <v>1</v>
      </c>
      <c r="K4" s="2" t="b">
        <v>0</v>
      </c>
      <c r="L4" s="2">
        <v>1</v>
      </c>
      <c r="M4" s="2">
        <v>0</v>
      </c>
      <c r="N4" s="2">
        <v>0</v>
      </c>
    </row>
    <row r="5" spans="1:15" ht="409.5" x14ac:dyDescent="0.25">
      <c r="A5" s="2" t="s">
        <v>25</v>
      </c>
      <c r="B5" s="2" t="s">
        <v>16</v>
      </c>
      <c r="C5" s="2" t="s">
        <v>26</v>
      </c>
      <c r="D5" s="2" t="s">
        <v>27</v>
      </c>
      <c r="E5" s="2">
        <v>1</v>
      </c>
      <c r="F5" s="2">
        <v>1</v>
      </c>
      <c r="G5" s="2">
        <v>1</v>
      </c>
      <c r="H5" s="2">
        <v>1</v>
      </c>
      <c r="I5" s="4">
        <v>1</v>
      </c>
      <c r="J5" s="2">
        <v>0.8</v>
      </c>
      <c r="K5" s="2" t="b">
        <v>0</v>
      </c>
      <c r="L5" s="2">
        <v>2</v>
      </c>
      <c r="M5" s="2">
        <v>0</v>
      </c>
      <c r="N5" s="2">
        <v>1</v>
      </c>
    </row>
    <row r="6" spans="1:15" ht="409.5" x14ac:dyDescent="0.25">
      <c r="A6" s="2" t="s">
        <v>28</v>
      </c>
      <c r="B6" s="2" t="s">
        <v>16</v>
      </c>
      <c r="C6" s="2" t="s">
        <v>29</v>
      </c>
      <c r="D6" s="2" t="s">
        <v>30</v>
      </c>
      <c r="E6" s="2">
        <v>1</v>
      </c>
      <c r="F6" s="2">
        <v>1</v>
      </c>
      <c r="G6" s="2">
        <v>1</v>
      </c>
      <c r="H6" s="2">
        <v>1</v>
      </c>
      <c r="I6" s="4">
        <v>1</v>
      </c>
      <c r="J6" s="2">
        <v>0.85699999999999998</v>
      </c>
      <c r="K6" s="2" t="b">
        <v>0</v>
      </c>
      <c r="L6" s="2">
        <v>3</v>
      </c>
      <c r="M6" s="2">
        <v>0</v>
      </c>
      <c r="N6" s="2">
        <v>1</v>
      </c>
    </row>
    <row r="7" spans="1:15" ht="409.5" x14ac:dyDescent="0.25">
      <c r="A7" s="2" t="s">
        <v>31</v>
      </c>
      <c r="B7" s="2" t="s">
        <v>16</v>
      </c>
      <c r="C7" s="2" t="s">
        <v>32</v>
      </c>
      <c r="D7" s="2" t="s">
        <v>33</v>
      </c>
      <c r="E7" s="2">
        <v>1</v>
      </c>
      <c r="F7" s="2">
        <v>1</v>
      </c>
      <c r="G7" s="2">
        <v>1</v>
      </c>
      <c r="H7" s="2">
        <v>1</v>
      </c>
      <c r="I7" s="4">
        <v>1</v>
      </c>
      <c r="J7" s="2">
        <v>0.8</v>
      </c>
      <c r="K7" s="2" t="b">
        <v>0</v>
      </c>
      <c r="L7" s="2">
        <v>2</v>
      </c>
      <c r="M7" s="2">
        <v>0</v>
      </c>
      <c r="N7" s="2">
        <v>1</v>
      </c>
    </row>
    <row r="8" spans="1:15" ht="409.5" x14ac:dyDescent="0.25">
      <c r="A8" s="2" t="s">
        <v>34</v>
      </c>
      <c r="B8" s="2" t="s">
        <v>16</v>
      </c>
      <c r="C8" s="2" t="s">
        <v>35</v>
      </c>
      <c r="D8" s="2" t="s">
        <v>36</v>
      </c>
      <c r="E8" s="2">
        <v>1</v>
      </c>
      <c r="F8" s="2">
        <v>1</v>
      </c>
      <c r="G8" s="2">
        <v>1</v>
      </c>
      <c r="H8" s="2">
        <v>1</v>
      </c>
      <c r="I8" s="4">
        <v>1</v>
      </c>
      <c r="J8" s="2">
        <v>1</v>
      </c>
      <c r="K8" s="2" t="b">
        <v>0</v>
      </c>
      <c r="L8" s="2">
        <v>1</v>
      </c>
      <c r="M8" s="2">
        <v>0</v>
      </c>
      <c r="N8" s="2">
        <v>0</v>
      </c>
    </row>
    <row r="9" spans="1:15" ht="364" x14ac:dyDescent="0.25">
      <c r="A9" s="2" t="s">
        <v>37</v>
      </c>
      <c r="B9" s="2" t="s">
        <v>16</v>
      </c>
      <c r="C9" s="2" t="s">
        <v>38</v>
      </c>
      <c r="D9" s="2" t="s">
        <v>39</v>
      </c>
      <c r="E9" s="2">
        <v>1</v>
      </c>
      <c r="F9" s="2">
        <v>1</v>
      </c>
      <c r="G9" s="2">
        <v>1</v>
      </c>
      <c r="H9" s="2">
        <v>1</v>
      </c>
      <c r="I9" s="4">
        <v>1</v>
      </c>
      <c r="J9" s="2">
        <v>1</v>
      </c>
      <c r="K9" s="2" t="b">
        <v>0</v>
      </c>
      <c r="L9" s="2">
        <v>4</v>
      </c>
      <c r="M9" s="2">
        <v>0</v>
      </c>
      <c r="N9" s="2">
        <v>0</v>
      </c>
    </row>
    <row r="10" spans="1:15" ht="409.5" x14ac:dyDescent="0.25">
      <c r="A10" s="2" t="s">
        <v>40</v>
      </c>
      <c r="B10" s="2" t="s">
        <v>16</v>
      </c>
      <c r="C10" s="2" t="s">
        <v>41</v>
      </c>
      <c r="D10" s="2" t="s">
        <v>42</v>
      </c>
      <c r="E10" s="2">
        <v>1</v>
      </c>
      <c r="F10" s="2">
        <v>1</v>
      </c>
      <c r="G10" s="2">
        <v>1</v>
      </c>
      <c r="H10" s="2">
        <v>1</v>
      </c>
      <c r="I10" s="4">
        <v>1</v>
      </c>
      <c r="J10" s="2">
        <v>1</v>
      </c>
      <c r="K10" s="2" t="b">
        <v>0</v>
      </c>
      <c r="L10" s="2">
        <v>3</v>
      </c>
      <c r="M10" s="2">
        <v>0</v>
      </c>
      <c r="N10" s="2">
        <v>0</v>
      </c>
    </row>
    <row r="11" spans="1:15" ht="409.5" x14ac:dyDescent="0.25">
      <c r="A11" s="2" t="s">
        <v>43</v>
      </c>
      <c r="B11" s="2" t="s">
        <v>16</v>
      </c>
      <c r="C11" s="2" t="s">
        <v>44</v>
      </c>
      <c r="D11" s="2" t="s">
        <v>45</v>
      </c>
      <c r="E11" s="2">
        <v>1</v>
      </c>
      <c r="F11" s="2">
        <v>1</v>
      </c>
      <c r="G11" s="2">
        <v>1</v>
      </c>
      <c r="H11" s="2">
        <v>1</v>
      </c>
      <c r="I11" s="4">
        <v>1</v>
      </c>
      <c r="J11" s="2">
        <v>0.75</v>
      </c>
      <c r="K11" s="2" t="b">
        <v>0</v>
      </c>
      <c r="L11" s="2">
        <v>3</v>
      </c>
      <c r="M11" s="2">
        <v>0</v>
      </c>
      <c r="N11" s="2">
        <v>2</v>
      </c>
    </row>
    <row r="12" spans="1:15" ht="308" x14ac:dyDescent="0.25">
      <c r="A12" s="2" t="s">
        <v>46</v>
      </c>
      <c r="B12" s="2" t="s">
        <v>16</v>
      </c>
      <c r="C12" s="2" t="s">
        <v>47</v>
      </c>
      <c r="D12" s="2" t="s">
        <v>48</v>
      </c>
      <c r="E12" s="2">
        <v>1</v>
      </c>
      <c r="F12" s="2">
        <v>1</v>
      </c>
      <c r="G12" s="2">
        <v>1</v>
      </c>
      <c r="H12" s="2">
        <v>1</v>
      </c>
      <c r="I12" s="4">
        <v>1</v>
      </c>
      <c r="J12" s="2">
        <v>1</v>
      </c>
      <c r="K12" s="2" t="b">
        <v>0</v>
      </c>
      <c r="L12" s="2">
        <v>2</v>
      </c>
      <c r="M12" s="2">
        <v>0</v>
      </c>
      <c r="N12" s="2">
        <v>0</v>
      </c>
    </row>
    <row r="13" spans="1:15" ht="409.5" x14ac:dyDescent="0.25">
      <c r="A13" s="2" t="s">
        <v>49</v>
      </c>
      <c r="B13" s="2" t="s">
        <v>16</v>
      </c>
      <c r="C13" s="2" t="s">
        <v>50</v>
      </c>
      <c r="D13" s="2" t="s">
        <v>51</v>
      </c>
      <c r="E13" s="2">
        <v>1</v>
      </c>
      <c r="F13" s="2">
        <v>1</v>
      </c>
      <c r="G13" s="2">
        <v>1</v>
      </c>
      <c r="H13" s="2">
        <v>1</v>
      </c>
      <c r="I13" s="4">
        <v>1</v>
      </c>
      <c r="J13" s="2">
        <v>1</v>
      </c>
      <c r="K13" s="2" t="b">
        <v>0</v>
      </c>
      <c r="L13" s="2">
        <v>3</v>
      </c>
      <c r="M13" s="2">
        <v>0</v>
      </c>
      <c r="N13" s="2">
        <v>0</v>
      </c>
    </row>
    <row r="14" spans="1:15" ht="266" x14ac:dyDescent="0.25">
      <c r="A14" s="2" t="s">
        <v>52</v>
      </c>
      <c r="B14" s="2" t="s">
        <v>53</v>
      </c>
      <c r="C14" s="2" t="s">
        <v>54</v>
      </c>
      <c r="D14" s="2" t="s">
        <v>55</v>
      </c>
      <c r="E14" s="2">
        <v>1</v>
      </c>
      <c r="F14" s="2">
        <v>1</v>
      </c>
      <c r="G14" s="2">
        <v>1</v>
      </c>
      <c r="H14" s="2">
        <v>1</v>
      </c>
      <c r="I14" s="4">
        <v>1</v>
      </c>
      <c r="J14" s="2">
        <v>1</v>
      </c>
      <c r="K14" s="2" t="b">
        <v>0</v>
      </c>
      <c r="L14" s="2">
        <v>1</v>
      </c>
      <c r="M14" s="2">
        <v>0</v>
      </c>
      <c r="N14" s="2">
        <v>0</v>
      </c>
    </row>
    <row r="15" spans="1:15" ht="224" x14ac:dyDescent="0.25">
      <c r="A15" s="2" t="s">
        <v>56</v>
      </c>
      <c r="B15" s="2" t="s">
        <v>53</v>
      </c>
      <c r="C15" s="2" t="s">
        <v>57</v>
      </c>
      <c r="D15" s="2" t="s">
        <v>58</v>
      </c>
      <c r="E15" s="2">
        <v>1</v>
      </c>
      <c r="F15" s="2">
        <v>1</v>
      </c>
      <c r="G15" s="2">
        <v>1</v>
      </c>
      <c r="H15" s="2">
        <v>1</v>
      </c>
      <c r="I15" s="4">
        <v>0</v>
      </c>
      <c r="J15" s="2">
        <v>0</v>
      </c>
      <c r="K15" s="2" t="b">
        <v>0</v>
      </c>
      <c r="L15" s="2">
        <v>0</v>
      </c>
      <c r="M15" s="2">
        <v>3</v>
      </c>
      <c r="N15" s="2">
        <v>3</v>
      </c>
    </row>
    <row r="16" spans="1:15" ht="409.5" x14ac:dyDescent="0.25">
      <c r="A16" s="2" t="s">
        <v>59</v>
      </c>
      <c r="B16" s="2" t="s">
        <v>53</v>
      </c>
      <c r="C16" s="2" t="s">
        <v>60</v>
      </c>
      <c r="D16" s="2" t="s">
        <v>155</v>
      </c>
      <c r="E16" s="2">
        <v>1</v>
      </c>
      <c r="F16" s="2">
        <v>1</v>
      </c>
      <c r="G16" s="2">
        <v>1</v>
      </c>
      <c r="H16" s="2">
        <v>1</v>
      </c>
      <c r="I16" s="4">
        <v>0.5</v>
      </c>
      <c r="J16" s="2">
        <v>0.85699999999999998</v>
      </c>
      <c r="K16" s="2" t="b">
        <v>0</v>
      </c>
      <c r="L16" s="2">
        <v>3</v>
      </c>
      <c r="M16" s="2">
        <v>1</v>
      </c>
      <c r="N16" s="2">
        <v>0</v>
      </c>
    </row>
    <row r="17" spans="1:14" ht="409.5" x14ac:dyDescent="0.25">
      <c r="A17" s="2" t="s">
        <v>61</v>
      </c>
      <c r="B17" s="2" t="s">
        <v>53</v>
      </c>
      <c r="C17" s="2" t="s">
        <v>62</v>
      </c>
      <c r="D17" s="2" t="s">
        <v>63</v>
      </c>
      <c r="E17" s="2">
        <v>1</v>
      </c>
      <c r="F17" s="2">
        <v>1</v>
      </c>
      <c r="G17" s="2">
        <v>1</v>
      </c>
      <c r="H17" s="2">
        <v>1</v>
      </c>
      <c r="I17" s="4">
        <v>0.5</v>
      </c>
      <c r="J17" s="2">
        <v>0.66700000000000004</v>
      </c>
      <c r="K17" s="2" t="b">
        <v>0</v>
      </c>
      <c r="L17" s="2">
        <v>1</v>
      </c>
      <c r="M17" s="2">
        <v>0</v>
      </c>
      <c r="N17" s="2">
        <v>1</v>
      </c>
    </row>
    <row r="18" spans="1:14" ht="409.5" x14ac:dyDescent="0.25">
      <c r="A18" s="2" t="s">
        <v>64</v>
      </c>
      <c r="B18" s="2" t="s">
        <v>53</v>
      </c>
      <c r="C18" s="2" t="s">
        <v>65</v>
      </c>
      <c r="D18" s="2" t="s">
        <v>66</v>
      </c>
      <c r="E18" s="2">
        <v>1</v>
      </c>
      <c r="F18" s="2">
        <v>1</v>
      </c>
      <c r="G18" s="2">
        <v>1</v>
      </c>
      <c r="H18" s="2">
        <v>1</v>
      </c>
      <c r="I18" s="4">
        <v>0.66669999999999996</v>
      </c>
      <c r="J18" s="2">
        <v>1</v>
      </c>
      <c r="K18" s="2" t="b">
        <v>0</v>
      </c>
      <c r="L18" s="2">
        <v>4</v>
      </c>
      <c r="M18" s="2">
        <v>0</v>
      </c>
      <c r="N18" s="2">
        <v>0</v>
      </c>
    </row>
    <row r="19" spans="1:14" ht="409.5" x14ac:dyDescent="0.25">
      <c r="A19" s="2" t="s">
        <v>67</v>
      </c>
      <c r="B19" s="2" t="s">
        <v>53</v>
      </c>
      <c r="C19" s="2" t="s">
        <v>68</v>
      </c>
      <c r="D19" s="2" t="s">
        <v>69</v>
      </c>
      <c r="E19" s="2">
        <v>1</v>
      </c>
      <c r="F19" s="2">
        <v>1</v>
      </c>
      <c r="G19" s="2">
        <v>1</v>
      </c>
      <c r="H19" s="2">
        <v>1</v>
      </c>
      <c r="I19" s="4">
        <v>1</v>
      </c>
      <c r="J19" s="2">
        <v>1</v>
      </c>
      <c r="K19" s="2" t="b">
        <v>0</v>
      </c>
      <c r="L19" s="2">
        <v>3</v>
      </c>
      <c r="M19" s="2">
        <v>0</v>
      </c>
      <c r="N19" s="2">
        <v>0</v>
      </c>
    </row>
    <row r="20" spans="1:14" ht="409.5" x14ac:dyDescent="0.25">
      <c r="A20" s="2" t="s">
        <v>70</v>
      </c>
      <c r="B20" s="2" t="s">
        <v>53</v>
      </c>
      <c r="C20" s="2" t="s">
        <v>71</v>
      </c>
      <c r="D20" s="2" t="s">
        <v>72</v>
      </c>
      <c r="E20" s="2">
        <v>1</v>
      </c>
      <c r="F20" s="2">
        <v>1</v>
      </c>
      <c r="G20" s="2">
        <v>1</v>
      </c>
      <c r="H20" s="2">
        <v>1</v>
      </c>
      <c r="I20" s="4">
        <v>1</v>
      </c>
      <c r="J20" s="2">
        <v>1</v>
      </c>
      <c r="K20" s="2" t="b">
        <v>0</v>
      </c>
      <c r="L20" s="2">
        <v>2</v>
      </c>
      <c r="M20" s="2">
        <v>0</v>
      </c>
      <c r="N20" s="2">
        <v>0</v>
      </c>
    </row>
    <row r="21" spans="1:14" ht="409.5" x14ac:dyDescent="0.25">
      <c r="A21" s="2" t="s">
        <v>73</v>
      </c>
      <c r="B21" s="2" t="s">
        <v>53</v>
      </c>
      <c r="C21" s="2" t="s">
        <v>74</v>
      </c>
      <c r="D21" s="2" t="s">
        <v>75</v>
      </c>
      <c r="E21" s="2">
        <v>1</v>
      </c>
      <c r="F21" s="2">
        <v>1</v>
      </c>
      <c r="G21" s="2">
        <v>1</v>
      </c>
      <c r="H21" s="2">
        <v>1</v>
      </c>
      <c r="I21" s="4">
        <v>1</v>
      </c>
      <c r="J21" s="2">
        <v>0.66700000000000004</v>
      </c>
      <c r="K21" s="2" t="b">
        <v>0</v>
      </c>
      <c r="L21" s="2">
        <v>1</v>
      </c>
      <c r="M21" s="2">
        <v>1</v>
      </c>
      <c r="N21" s="2">
        <v>0</v>
      </c>
    </row>
    <row r="22" spans="1:14" ht="409.5" x14ac:dyDescent="0.25">
      <c r="A22" s="2" t="s">
        <v>76</v>
      </c>
      <c r="B22" s="2" t="s">
        <v>53</v>
      </c>
      <c r="C22" s="2" t="s">
        <v>77</v>
      </c>
      <c r="D22" s="2" t="s">
        <v>78</v>
      </c>
      <c r="E22" s="2">
        <v>1</v>
      </c>
      <c r="F22" s="2">
        <v>1</v>
      </c>
      <c r="G22" s="2">
        <v>1</v>
      </c>
      <c r="H22" s="2">
        <v>1</v>
      </c>
      <c r="I22" s="4">
        <v>1</v>
      </c>
      <c r="J22" s="2">
        <v>1</v>
      </c>
      <c r="K22" s="2" t="b">
        <v>0</v>
      </c>
      <c r="L22" s="2">
        <v>3</v>
      </c>
      <c r="M22" s="2">
        <v>0</v>
      </c>
      <c r="N22" s="2">
        <v>0</v>
      </c>
    </row>
    <row r="23" spans="1:14" ht="294" x14ac:dyDescent="0.25">
      <c r="A23" s="2" t="s">
        <v>79</v>
      </c>
      <c r="B23" s="2" t="s">
        <v>53</v>
      </c>
      <c r="C23" s="2" t="s">
        <v>80</v>
      </c>
      <c r="D23" s="2" t="s">
        <v>81</v>
      </c>
      <c r="E23" s="2">
        <v>1</v>
      </c>
      <c r="F23" s="2">
        <v>1</v>
      </c>
      <c r="G23" s="2">
        <v>1</v>
      </c>
      <c r="H23" s="2">
        <v>1</v>
      </c>
      <c r="I23" s="4">
        <v>0.5</v>
      </c>
      <c r="J23" s="2">
        <v>1</v>
      </c>
      <c r="K23" s="2" t="b">
        <v>0</v>
      </c>
      <c r="L23" s="2">
        <v>2</v>
      </c>
      <c r="M23" s="2">
        <v>0</v>
      </c>
      <c r="N23" s="2">
        <v>0</v>
      </c>
    </row>
    <row r="24" spans="1:14" ht="409.5" x14ac:dyDescent="0.25">
      <c r="A24" s="2" t="s">
        <v>82</v>
      </c>
      <c r="B24" s="2" t="s">
        <v>53</v>
      </c>
      <c r="C24" s="2" t="s">
        <v>83</v>
      </c>
      <c r="D24" s="2" t="s">
        <v>84</v>
      </c>
      <c r="E24" s="2">
        <v>1</v>
      </c>
      <c r="F24" s="2">
        <v>1</v>
      </c>
      <c r="G24" s="2">
        <v>1</v>
      </c>
      <c r="H24" s="2">
        <v>1</v>
      </c>
      <c r="I24" s="4">
        <v>1</v>
      </c>
      <c r="J24" s="2">
        <v>0.66700000000000004</v>
      </c>
      <c r="K24" s="2" t="b">
        <v>0</v>
      </c>
      <c r="L24" s="2">
        <v>1</v>
      </c>
      <c r="M24" s="2">
        <v>1</v>
      </c>
      <c r="N24" s="2">
        <v>0</v>
      </c>
    </row>
    <row r="25" spans="1:14" ht="409.5" x14ac:dyDescent="0.25">
      <c r="A25" s="2" t="s">
        <v>85</v>
      </c>
      <c r="B25" s="2" t="s">
        <v>86</v>
      </c>
      <c r="C25" s="2" t="s">
        <v>87</v>
      </c>
      <c r="D25" s="2" t="s">
        <v>88</v>
      </c>
      <c r="E25" s="2">
        <v>1</v>
      </c>
      <c r="F25" s="2">
        <v>1</v>
      </c>
      <c r="G25" s="2">
        <v>1</v>
      </c>
      <c r="H25" s="2">
        <v>1</v>
      </c>
      <c r="I25" s="4">
        <v>1</v>
      </c>
      <c r="J25" s="2">
        <v>1</v>
      </c>
      <c r="K25" s="2" t="b">
        <v>0</v>
      </c>
      <c r="L25" s="2">
        <v>2</v>
      </c>
      <c r="M25" s="2">
        <v>0</v>
      </c>
      <c r="N25" s="2">
        <v>0</v>
      </c>
    </row>
    <row r="26" spans="1:14" ht="409.5" x14ac:dyDescent="0.25">
      <c r="A26" s="2" t="s">
        <v>89</v>
      </c>
      <c r="B26" s="2" t="s">
        <v>86</v>
      </c>
      <c r="C26" s="2" t="s">
        <v>90</v>
      </c>
      <c r="D26" s="2" t="s">
        <v>91</v>
      </c>
      <c r="E26" s="2">
        <v>1</v>
      </c>
      <c r="F26" s="2">
        <v>1</v>
      </c>
      <c r="G26" s="2">
        <v>1</v>
      </c>
      <c r="H26" s="2">
        <v>1</v>
      </c>
      <c r="I26" s="4">
        <v>1</v>
      </c>
      <c r="J26" s="2">
        <v>1</v>
      </c>
      <c r="K26" s="2" t="b">
        <v>0</v>
      </c>
      <c r="L26" s="2">
        <v>1</v>
      </c>
      <c r="M26" s="2">
        <v>0</v>
      </c>
      <c r="N26" s="2">
        <v>0</v>
      </c>
    </row>
    <row r="27" spans="1:14" ht="392" x14ac:dyDescent="0.25">
      <c r="A27" s="2" t="s">
        <v>92</v>
      </c>
      <c r="B27" s="2" t="s">
        <v>86</v>
      </c>
      <c r="C27" s="2" t="s">
        <v>93</v>
      </c>
      <c r="D27" s="2" t="s">
        <v>94</v>
      </c>
      <c r="E27" s="2">
        <v>1</v>
      </c>
      <c r="F27" s="2">
        <v>1</v>
      </c>
      <c r="G27" s="2">
        <v>1</v>
      </c>
      <c r="H27" s="2">
        <v>1</v>
      </c>
      <c r="I27" s="4">
        <v>0.5</v>
      </c>
      <c r="J27" s="2">
        <v>0.66700000000000004</v>
      </c>
      <c r="K27" s="2" t="b">
        <v>0</v>
      </c>
      <c r="L27" s="2">
        <v>1</v>
      </c>
      <c r="M27" s="2">
        <v>0</v>
      </c>
      <c r="N27" s="2">
        <v>1</v>
      </c>
    </row>
    <row r="28" spans="1:14" ht="364" x14ac:dyDescent="0.25">
      <c r="A28" s="2" t="s">
        <v>95</v>
      </c>
      <c r="B28" s="2" t="s">
        <v>86</v>
      </c>
      <c r="C28" s="2" t="s">
        <v>96</v>
      </c>
      <c r="D28" s="2" t="s">
        <v>97</v>
      </c>
      <c r="E28" s="2">
        <v>1</v>
      </c>
      <c r="F28" s="2">
        <v>1</v>
      </c>
      <c r="G28" s="2">
        <v>1</v>
      </c>
      <c r="H28" s="2">
        <v>1</v>
      </c>
      <c r="I28" s="4">
        <v>1</v>
      </c>
      <c r="J28" s="2">
        <v>1</v>
      </c>
      <c r="K28" s="2" t="b">
        <v>0</v>
      </c>
      <c r="L28" s="2">
        <v>1</v>
      </c>
      <c r="M28" s="2">
        <v>0</v>
      </c>
      <c r="N28" s="2">
        <v>0</v>
      </c>
    </row>
    <row r="29" spans="1:14" ht="280" x14ac:dyDescent="0.25">
      <c r="A29" s="2" t="s">
        <v>98</v>
      </c>
      <c r="B29" s="2" t="s">
        <v>86</v>
      </c>
      <c r="C29" s="2" t="s">
        <v>99</v>
      </c>
      <c r="D29" s="2" t="s">
        <v>100</v>
      </c>
      <c r="E29" s="2">
        <v>1</v>
      </c>
      <c r="F29" s="2">
        <v>1</v>
      </c>
      <c r="G29" s="2">
        <v>1</v>
      </c>
      <c r="H29" s="2">
        <v>1</v>
      </c>
      <c r="I29" s="4">
        <v>1</v>
      </c>
      <c r="J29" s="2">
        <v>1</v>
      </c>
      <c r="K29" s="2" t="b">
        <v>0</v>
      </c>
      <c r="L29" s="2">
        <v>1</v>
      </c>
      <c r="M29" s="2">
        <v>0</v>
      </c>
      <c r="N29" s="2">
        <v>0</v>
      </c>
    </row>
    <row r="30" spans="1:14" ht="406" x14ac:dyDescent="0.25">
      <c r="A30" s="2" t="s">
        <v>101</v>
      </c>
      <c r="B30" s="2" t="s">
        <v>86</v>
      </c>
      <c r="C30" s="2" t="s">
        <v>102</v>
      </c>
      <c r="D30" s="2" t="s">
        <v>103</v>
      </c>
      <c r="E30" s="2">
        <v>1</v>
      </c>
      <c r="F30" s="2">
        <v>1</v>
      </c>
      <c r="G30" s="2">
        <v>1</v>
      </c>
      <c r="H30" s="2">
        <v>1</v>
      </c>
      <c r="I30" s="4">
        <v>1</v>
      </c>
      <c r="J30" s="2">
        <v>1</v>
      </c>
      <c r="K30" s="2" t="b">
        <v>0</v>
      </c>
      <c r="L30" s="2">
        <v>3</v>
      </c>
      <c r="M30" s="2">
        <v>0</v>
      </c>
      <c r="N30" s="2">
        <v>0</v>
      </c>
    </row>
    <row r="31" spans="1:14" ht="409.5" x14ac:dyDescent="0.25">
      <c r="A31" s="2" t="s">
        <v>104</v>
      </c>
      <c r="B31" s="2" t="s">
        <v>86</v>
      </c>
      <c r="C31" s="2" t="s">
        <v>105</v>
      </c>
      <c r="D31" s="2" t="s">
        <v>106</v>
      </c>
      <c r="E31" s="2">
        <v>1</v>
      </c>
      <c r="F31" s="2">
        <v>1</v>
      </c>
      <c r="G31" s="2">
        <v>1</v>
      </c>
      <c r="H31" s="2">
        <v>1</v>
      </c>
      <c r="I31" s="4">
        <v>1</v>
      </c>
      <c r="J31" s="2">
        <v>1</v>
      </c>
      <c r="K31" s="2" t="b">
        <v>0</v>
      </c>
      <c r="L31" s="2">
        <v>3</v>
      </c>
      <c r="M31" s="2">
        <v>0</v>
      </c>
      <c r="N31" s="2">
        <v>0</v>
      </c>
    </row>
    <row r="32" spans="1:14" ht="409.5" x14ac:dyDescent="0.25">
      <c r="A32" s="2" t="s">
        <v>107</v>
      </c>
      <c r="B32" s="2" t="s">
        <v>86</v>
      </c>
      <c r="C32" s="2" t="s">
        <v>108</v>
      </c>
      <c r="D32" s="2" t="s">
        <v>109</v>
      </c>
      <c r="E32" s="2">
        <v>1</v>
      </c>
      <c r="F32" s="2">
        <v>1</v>
      </c>
      <c r="G32" s="2">
        <v>1</v>
      </c>
      <c r="H32" s="2">
        <v>1</v>
      </c>
      <c r="I32" s="4">
        <v>1</v>
      </c>
      <c r="J32" s="2">
        <v>0</v>
      </c>
      <c r="K32" s="2" t="b">
        <v>0</v>
      </c>
      <c r="L32" s="2">
        <v>0</v>
      </c>
      <c r="M32" s="2">
        <v>0</v>
      </c>
      <c r="N32" s="2">
        <v>1</v>
      </c>
    </row>
    <row r="33" spans="1:15" ht="409.5" x14ac:dyDescent="0.25">
      <c r="A33" s="2" t="s">
        <v>110</v>
      </c>
      <c r="B33" s="2" t="s">
        <v>86</v>
      </c>
      <c r="C33" s="2" t="s">
        <v>111</v>
      </c>
      <c r="D33" s="2" t="s">
        <v>112</v>
      </c>
      <c r="E33" s="2">
        <v>1</v>
      </c>
      <c r="F33" s="2">
        <v>1</v>
      </c>
      <c r="G33" s="2">
        <v>1</v>
      </c>
      <c r="H33" s="2">
        <v>1</v>
      </c>
      <c r="I33" s="4">
        <v>1</v>
      </c>
      <c r="J33" s="2">
        <v>0.85699999999999998</v>
      </c>
      <c r="K33" s="2" t="b">
        <v>0</v>
      </c>
      <c r="L33" s="2">
        <v>3</v>
      </c>
      <c r="M33" s="2">
        <v>1</v>
      </c>
      <c r="N33" s="2">
        <v>0</v>
      </c>
    </row>
    <row r="34" spans="1:15" ht="409.5" x14ac:dyDescent="0.25">
      <c r="A34" s="2" t="s">
        <v>113</v>
      </c>
      <c r="B34" s="2" t="s">
        <v>86</v>
      </c>
      <c r="C34" s="2" t="s">
        <v>114</v>
      </c>
      <c r="D34" s="2" t="s">
        <v>115</v>
      </c>
      <c r="E34" s="2">
        <v>1</v>
      </c>
      <c r="F34" s="2">
        <v>1</v>
      </c>
      <c r="G34" s="2">
        <v>1</v>
      </c>
      <c r="H34" s="2">
        <v>1</v>
      </c>
      <c r="I34" s="4">
        <v>1</v>
      </c>
      <c r="J34" s="2">
        <v>1</v>
      </c>
      <c r="K34" s="2" t="b">
        <v>0</v>
      </c>
      <c r="L34" s="2">
        <v>3</v>
      </c>
      <c r="M34" s="2">
        <v>0</v>
      </c>
      <c r="N34" s="2">
        <v>0</v>
      </c>
    </row>
    <row r="35" spans="1:15" ht="378" x14ac:dyDescent="0.25">
      <c r="A35" s="2" t="s">
        <v>116</v>
      </c>
      <c r="B35" s="2" t="s">
        <v>86</v>
      </c>
      <c r="C35" s="2" t="s">
        <v>117</v>
      </c>
      <c r="D35" s="2" t="s">
        <v>118</v>
      </c>
      <c r="E35" s="2">
        <v>1</v>
      </c>
      <c r="F35" s="2">
        <v>1</v>
      </c>
      <c r="G35" s="2">
        <v>1</v>
      </c>
      <c r="H35" s="2">
        <v>1</v>
      </c>
      <c r="I35" s="4">
        <v>1</v>
      </c>
      <c r="J35" s="2">
        <v>0.66700000000000004</v>
      </c>
      <c r="K35" s="2" t="b">
        <v>0</v>
      </c>
      <c r="L35" s="2">
        <v>1</v>
      </c>
      <c r="M35" s="2">
        <v>0</v>
      </c>
      <c r="N35" s="2">
        <v>1</v>
      </c>
    </row>
    <row r="36" spans="1:15" ht="409.5" x14ac:dyDescent="0.25">
      <c r="A36" s="2" t="s">
        <v>119</v>
      </c>
      <c r="B36" s="2" t="s">
        <v>120</v>
      </c>
      <c r="C36" s="2" t="s">
        <v>121</v>
      </c>
      <c r="D36" s="2" t="s">
        <v>122</v>
      </c>
      <c r="E36" s="2">
        <v>1</v>
      </c>
      <c r="F36" s="2">
        <v>1</v>
      </c>
      <c r="G36" s="2">
        <v>1</v>
      </c>
      <c r="H36" s="2">
        <v>1</v>
      </c>
      <c r="I36" s="4">
        <v>1</v>
      </c>
      <c r="J36" s="2">
        <v>1</v>
      </c>
      <c r="K36" s="2" t="b">
        <v>0</v>
      </c>
      <c r="L36" s="2">
        <v>2</v>
      </c>
      <c r="M36" s="2">
        <v>0</v>
      </c>
      <c r="N36" s="2">
        <v>0</v>
      </c>
    </row>
    <row r="37" spans="1:15" ht="409.5" x14ac:dyDescent="0.25">
      <c r="A37" s="2" t="s">
        <v>123</v>
      </c>
      <c r="B37" s="2" t="s">
        <v>120</v>
      </c>
      <c r="C37" s="2" t="s">
        <v>124</v>
      </c>
      <c r="D37" s="2" t="s">
        <v>125</v>
      </c>
      <c r="E37" s="2">
        <v>1</v>
      </c>
      <c r="F37" s="2">
        <v>1</v>
      </c>
      <c r="G37" s="2">
        <v>1</v>
      </c>
      <c r="H37" s="2">
        <v>1</v>
      </c>
      <c r="I37" s="4">
        <v>1</v>
      </c>
      <c r="J37" s="2">
        <v>1</v>
      </c>
      <c r="K37" s="2" t="b">
        <v>0</v>
      </c>
      <c r="L37" s="2">
        <v>2</v>
      </c>
      <c r="M37" s="2">
        <v>0</v>
      </c>
      <c r="N37" s="2">
        <v>0</v>
      </c>
    </row>
    <row r="38" spans="1:15" ht="409.5" x14ac:dyDescent="0.25">
      <c r="A38" s="2" t="s">
        <v>126</v>
      </c>
      <c r="B38" s="2" t="s">
        <v>120</v>
      </c>
      <c r="C38" s="2" t="s">
        <v>127</v>
      </c>
      <c r="D38" s="2" t="s">
        <v>128</v>
      </c>
      <c r="E38" s="2">
        <v>1</v>
      </c>
      <c r="F38" s="2">
        <v>1</v>
      </c>
      <c r="G38" s="2">
        <v>1</v>
      </c>
      <c r="H38" s="2">
        <v>1</v>
      </c>
      <c r="I38" s="4">
        <v>0.75</v>
      </c>
      <c r="J38" s="2">
        <v>0.85699999999999998</v>
      </c>
      <c r="K38" s="2" t="b">
        <v>0</v>
      </c>
      <c r="L38" s="2">
        <v>3</v>
      </c>
      <c r="M38" s="2">
        <v>0</v>
      </c>
      <c r="N38" s="2">
        <v>1</v>
      </c>
    </row>
    <row r="39" spans="1:15" ht="409.5" x14ac:dyDescent="0.25">
      <c r="A39" s="2" t="s">
        <v>129</v>
      </c>
      <c r="B39" s="2" t="s">
        <v>120</v>
      </c>
      <c r="C39" s="2" t="s">
        <v>130</v>
      </c>
      <c r="D39" s="2" t="s">
        <v>131</v>
      </c>
      <c r="E39" s="2">
        <v>1</v>
      </c>
      <c r="F39" s="2">
        <v>1</v>
      </c>
      <c r="G39" s="2">
        <v>1</v>
      </c>
      <c r="H39" s="2">
        <v>1</v>
      </c>
      <c r="I39" s="4">
        <v>0.5</v>
      </c>
      <c r="J39" s="2">
        <v>1</v>
      </c>
      <c r="K39" s="2" t="b">
        <v>0</v>
      </c>
      <c r="L39" s="2">
        <v>2</v>
      </c>
      <c r="M39" s="2">
        <v>0</v>
      </c>
      <c r="N39" s="2">
        <v>0</v>
      </c>
    </row>
    <row r="40" spans="1:15" ht="409.5" x14ac:dyDescent="0.25">
      <c r="A40" s="2" t="s">
        <v>132</v>
      </c>
      <c r="B40" s="2" t="s">
        <v>120</v>
      </c>
      <c r="C40" s="2" t="s">
        <v>133</v>
      </c>
      <c r="D40" s="2" t="s">
        <v>134</v>
      </c>
      <c r="E40" s="2">
        <v>1</v>
      </c>
      <c r="F40" s="2">
        <v>1</v>
      </c>
      <c r="G40" s="2">
        <v>1</v>
      </c>
      <c r="H40" s="2">
        <v>1</v>
      </c>
      <c r="I40" s="4">
        <v>0.8</v>
      </c>
      <c r="J40" s="2">
        <v>0.5</v>
      </c>
      <c r="K40" s="2" t="b">
        <v>0</v>
      </c>
      <c r="L40" s="2">
        <v>2</v>
      </c>
      <c r="M40" s="2">
        <v>0</v>
      </c>
      <c r="N40" s="2">
        <v>4</v>
      </c>
    </row>
    <row r="41" spans="1:15" ht="409.5" x14ac:dyDescent="0.25">
      <c r="A41" s="2" t="s">
        <v>135</v>
      </c>
      <c r="B41" s="2" t="s">
        <v>120</v>
      </c>
      <c r="C41" s="2" t="s">
        <v>136</v>
      </c>
      <c r="D41" s="2" t="s">
        <v>137</v>
      </c>
      <c r="E41" s="2">
        <v>1</v>
      </c>
      <c r="F41" s="2">
        <v>1</v>
      </c>
      <c r="G41" s="2">
        <v>1</v>
      </c>
      <c r="H41" s="2">
        <v>1</v>
      </c>
      <c r="I41" s="4">
        <v>1</v>
      </c>
      <c r="J41" s="2">
        <v>0.8</v>
      </c>
      <c r="K41" s="2" t="b">
        <v>0</v>
      </c>
      <c r="L41" s="2">
        <v>2</v>
      </c>
      <c r="M41" s="2">
        <v>0</v>
      </c>
      <c r="N41" s="2">
        <v>1</v>
      </c>
    </row>
    <row r="42" spans="1:15" ht="409.5" x14ac:dyDescent="0.25">
      <c r="A42" s="2" t="s">
        <v>138</v>
      </c>
      <c r="B42" s="2" t="s">
        <v>120</v>
      </c>
      <c r="C42" s="2" t="s">
        <v>139</v>
      </c>
      <c r="D42" s="2" t="s">
        <v>140</v>
      </c>
      <c r="E42" s="2">
        <v>0</v>
      </c>
      <c r="F42" s="2">
        <v>1</v>
      </c>
      <c r="G42" s="2">
        <v>1</v>
      </c>
      <c r="H42" s="2">
        <v>0.33333333333333331</v>
      </c>
      <c r="I42" s="4">
        <v>0.5</v>
      </c>
      <c r="J42" s="2">
        <v>0.66700000000000004</v>
      </c>
      <c r="K42" s="2" t="b">
        <v>0</v>
      </c>
      <c r="L42" s="2">
        <v>2</v>
      </c>
      <c r="M42" s="2">
        <v>0</v>
      </c>
      <c r="N42" s="2">
        <v>2</v>
      </c>
    </row>
    <row r="43" spans="1:15" ht="409.5" x14ac:dyDescent="0.25">
      <c r="A43" s="2" t="s">
        <v>141</v>
      </c>
      <c r="B43" s="2" t="s">
        <v>120</v>
      </c>
      <c r="C43" s="2" t="s">
        <v>142</v>
      </c>
      <c r="D43" s="2" t="s">
        <v>143</v>
      </c>
      <c r="E43" s="2">
        <v>0</v>
      </c>
      <c r="F43" s="2">
        <v>0</v>
      </c>
      <c r="G43" s="2">
        <v>0</v>
      </c>
      <c r="H43" s="2">
        <v>0</v>
      </c>
      <c r="I43" s="4">
        <v>1</v>
      </c>
      <c r="J43" s="2">
        <v>0.66700000000000004</v>
      </c>
      <c r="K43" s="2" t="b">
        <v>0</v>
      </c>
      <c r="L43" s="2">
        <v>2</v>
      </c>
      <c r="M43" s="2">
        <v>1</v>
      </c>
      <c r="N43" s="2">
        <v>1</v>
      </c>
    </row>
    <row r="44" spans="1:15" ht="112" x14ac:dyDescent="0.25">
      <c r="A44" s="2" t="s">
        <v>144</v>
      </c>
      <c r="B44" s="2" t="s">
        <v>145</v>
      </c>
      <c r="C44" s="2" t="s">
        <v>146</v>
      </c>
      <c r="D44" s="2" t="s">
        <v>147</v>
      </c>
      <c r="J44" s="2">
        <v>1</v>
      </c>
      <c r="K44" s="2" t="b">
        <v>1</v>
      </c>
      <c r="L44" s="2">
        <v>1</v>
      </c>
      <c r="M44" s="2">
        <v>0</v>
      </c>
      <c r="N44" s="2">
        <v>0</v>
      </c>
      <c r="O44" s="2" t="b">
        <v>1</v>
      </c>
    </row>
    <row r="45" spans="1:15" ht="140" x14ac:dyDescent="0.25">
      <c r="A45" s="2" t="s">
        <v>148</v>
      </c>
      <c r="B45" s="2" t="s">
        <v>145</v>
      </c>
      <c r="C45" s="2" t="s">
        <v>146</v>
      </c>
      <c r="D45" s="2" t="s">
        <v>147</v>
      </c>
      <c r="J45" s="2">
        <v>1</v>
      </c>
      <c r="K45" s="2" t="b">
        <v>1</v>
      </c>
      <c r="L45" s="2">
        <v>1</v>
      </c>
      <c r="M45" s="2">
        <v>0</v>
      </c>
      <c r="N45" s="2">
        <v>0</v>
      </c>
      <c r="O45" s="2" t="b">
        <v>1</v>
      </c>
    </row>
    <row r="46" spans="1:15" ht="84" x14ac:dyDescent="0.25">
      <c r="A46" s="2" t="s">
        <v>149</v>
      </c>
      <c r="B46" s="2" t="s">
        <v>145</v>
      </c>
      <c r="C46" s="2" t="s">
        <v>146</v>
      </c>
      <c r="D46" s="2" t="s">
        <v>147</v>
      </c>
      <c r="J46" s="2">
        <v>1</v>
      </c>
      <c r="K46" s="2" t="b">
        <v>1</v>
      </c>
      <c r="L46" s="2">
        <v>1</v>
      </c>
      <c r="M46" s="2">
        <v>0</v>
      </c>
      <c r="N46" s="2">
        <v>0</v>
      </c>
      <c r="O46" s="2" t="b">
        <v>1</v>
      </c>
    </row>
    <row r="47" spans="1:15" ht="210" x14ac:dyDescent="0.25">
      <c r="A47" s="2" t="s">
        <v>150</v>
      </c>
      <c r="B47" s="2" t="s">
        <v>145</v>
      </c>
      <c r="C47" s="2" t="s">
        <v>146</v>
      </c>
      <c r="D47" s="2" t="s">
        <v>147</v>
      </c>
      <c r="J47" s="2">
        <v>1</v>
      </c>
      <c r="K47" s="2" t="b">
        <v>1</v>
      </c>
      <c r="L47" s="2">
        <v>1</v>
      </c>
      <c r="M47" s="2">
        <v>0</v>
      </c>
      <c r="N47" s="2">
        <v>0</v>
      </c>
      <c r="O47" s="2" t="b">
        <v>1</v>
      </c>
    </row>
    <row r="48" spans="1:15" ht="98" x14ac:dyDescent="0.25">
      <c r="A48" s="2" t="s">
        <v>151</v>
      </c>
      <c r="B48" s="2" t="s">
        <v>145</v>
      </c>
      <c r="C48" s="2" t="s">
        <v>146</v>
      </c>
      <c r="D48" s="2" t="s">
        <v>147</v>
      </c>
      <c r="J48" s="2">
        <v>1</v>
      </c>
      <c r="K48" s="2" t="b">
        <v>1</v>
      </c>
      <c r="L48" s="2">
        <v>1</v>
      </c>
      <c r="M48" s="2">
        <v>0</v>
      </c>
      <c r="N48" s="2">
        <v>0</v>
      </c>
      <c r="O48" s="2" t="b">
        <v>1</v>
      </c>
    </row>
    <row r="49" spans="1:15" ht="98" x14ac:dyDescent="0.25">
      <c r="A49" s="2" t="s">
        <v>152</v>
      </c>
      <c r="B49" s="2" t="s">
        <v>145</v>
      </c>
      <c r="C49" s="2" t="s">
        <v>146</v>
      </c>
      <c r="D49" s="2" t="s">
        <v>147</v>
      </c>
      <c r="J49" s="2">
        <v>1</v>
      </c>
      <c r="K49" s="2" t="b">
        <v>1</v>
      </c>
      <c r="L49" s="2">
        <v>1</v>
      </c>
      <c r="M49" s="2">
        <v>0</v>
      </c>
      <c r="N49" s="2">
        <v>0</v>
      </c>
      <c r="O49" s="2" t="b">
        <v>1</v>
      </c>
    </row>
    <row r="50" spans="1:15" ht="126" x14ac:dyDescent="0.25">
      <c r="A50" s="2" t="s">
        <v>153</v>
      </c>
      <c r="B50" s="2" t="s">
        <v>145</v>
      </c>
      <c r="C50" s="2" t="s">
        <v>146</v>
      </c>
      <c r="D50" s="2" t="s">
        <v>147</v>
      </c>
      <c r="J50" s="2">
        <v>1</v>
      </c>
      <c r="K50" s="2" t="b">
        <v>1</v>
      </c>
      <c r="L50" s="2">
        <v>1</v>
      </c>
      <c r="M50" s="2">
        <v>0</v>
      </c>
      <c r="N50" s="2">
        <v>0</v>
      </c>
      <c r="O50" s="2" t="b">
        <v>1</v>
      </c>
    </row>
    <row r="51" spans="1:15" ht="126" x14ac:dyDescent="0.25">
      <c r="A51" s="2" t="s">
        <v>154</v>
      </c>
      <c r="B51" s="2" t="s">
        <v>145</v>
      </c>
      <c r="C51" s="2" t="s">
        <v>146</v>
      </c>
      <c r="D51" s="2" t="s">
        <v>147</v>
      </c>
      <c r="J51" s="2">
        <v>1</v>
      </c>
      <c r="K51" s="2" t="b">
        <v>1</v>
      </c>
      <c r="L51" s="2">
        <v>1</v>
      </c>
      <c r="M51" s="2">
        <v>0</v>
      </c>
      <c r="N51" s="2">
        <v>0</v>
      </c>
      <c r="O51" s="2" t="b">
        <v>1</v>
      </c>
    </row>
    <row r="53" spans="1:15" x14ac:dyDescent="0.25">
      <c r="A53" s="2" t="s">
        <v>156</v>
      </c>
      <c r="E53" s="2">
        <f>AVERAGEIFS(E2:E51,K2:K51,FALSE)</f>
        <v>0.9285714285714286</v>
      </c>
      <c r="F53" s="2">
        <f>AVERAGEIFS(F2:F51,K2:K51,FALSE)</f>
        <v>0.95238095238095233</v>
      </c>
      <c r="G53" s="2">
        <f>AVERAGEIFS(G2:G51,K2:K51,FALSE)</f>
        <v>0.95238095238095233</v>
      </c>
      <c r="H53" s="2">
        <f>AVERAGEIFS(H2:H51,K2:K51,FALSE)</f>
        <v>0.93650793650793651</v>
      </c>
      <c r="I53" s="4">
        <f>AVERAGEIFS(I2:I51,K2:K51,FALSE)</f>
        <v>0.86230238095238088</v>
      </c>
      <c r="J53" s="2">
        <f>AVERAGE(J2:J51)</f>
        <v>0.87494000000000016</v>
      </c>
      <c r="L53" s="2">
        <f>AVERAGE(L2:L51)</f>
        <v>1.86</v>
      </c>
      <c r="M53" s="2">
        <f>AVERAGE(M2:M51)</f>
        <v>0.16</v>
      </c>
      <c r="N53" s="2">
        <f>AVERAGE(N2:N51)</f>
        <v>0.42</v>
      </c>
    </row>
    <row r="54" spans="1:15" x14ac:dyDescent="0.25">
      <c r="A54" s="2" t="s">
        <v>157</v>
      </c>
      <c r="B54" s="2" t="s">
        <v>16</v>
      </c>
      <c r="E54" s="2">
        <f>AVERAGEIFS(E2:E51,B2:B51,"定义类",K2:K51,FALSE)</f>
        <v>0.91666666666666663</v>
      </c>
      <c r="F54" s="2">
        <f>AVERAGEIFS(F2:F51,B2:B51,"定义类",K2:K51,FALSE)</f>
        <v>0.91666666666666663</v>
      </c>
      <c r="G54" s="2">
        <f>AVERAGEIFS(G2:G51,B2:B51,"定义类",K2:K51,FALSE)</f>
        <v>0.91666666666666663</v>
      </c>
      <c r="H54" s="2">
        <f>AVERAGEIFS(H2:H51,B2:B51,"定义类",K2:K51,FALSE)</f>
        <v>0.91666666666666663</v>
      </c>
      <c r="I54" s="4">
        <f>AVERAGEIFS(I2:I51,B2:B51,"定义类",K2:K51,FALSE)</f>
        <v>0.91666666666666663</v>
      </c>
      <c r="J54" s="2">
        <f>AVERAGEIF(B2:B51,"定义类",J2:J51)</f>
        <v>0.93391666666666673</v>
      </c>
      <c r="L54" s="2">
        <f>AVERAGEIF(B2:B51,"定义类",L2:L51)</f>
        <v>2.3333333333333335</v>
      </c>
      <c r="M54" s="2">
        <f>AVERAGEIF(B2:B51,"定义类",M2:M51)</f>
        <v>0</v>
      </c>
      <c r="N54" s="2">
        <f>AVERAGEIF(B2:B51,"定义类",N2:N51)</f>
        <v>0.41666666666666669</v>
      </c>
    </row>
    <row r="55" spans="1:15" ht="28" x14ac:dyDescent="0.25">
      <c r="A55" s="2" t="s">
        <v>158</v>
      </c>
      <c r="B55" s="2" t="s">
        <v>53</v>
      </c>
      <c r="E55" s="2">
        <f>AVERAGEIFS(E2:E51,B2:B51,"方法细节类",K2:K51,FALSE)</f>
        <v>1</v>
      </c>
      <c r="F55" s="2">
        <f>AVERAGEIFS(F2:F51,B2:B51,"方法细节类",K2:K51,FALSE)</f>
        <v>1</v>
      </c>
      <c r="G55" s="2">
        <f>AVERAGEIFS(G2:G51,B2:B51,"方法细节类",K2:K51,FALSE)</f>
        <v>1</v>
      </c>
      <c r="H55" s="2">
        <f>AVERAGEIFS(H2:H51,B2:B51,"方法细节类",K2:K51,FALSE)</f>
        <v>1</v>
      </c>
      <c r="I55" s="4">
        <f>AVERAGEIFS(I2:I51,B2:B51,"方法细节类",K2:K51,FALSE)</f>
        <v>0.74242727272727282</v>
      </c>
      <c r="J55" s="2">
        <f>AVERAGEIF(B2:B51,"方法细节类",J2:J51)</f>
        <v>0.80527272727272714</v>
      </c>
      <c r="L55" s="2">
        <f>AVERAGEIF(B2:B51,"方法细节类",L2:L51)</f>
        <v>1.9090909090909092</v>
      </c>
      <c r="M55" s="2">
        <f>AVERAGEIF(B2:B51,"方法细节类",M2:M51)</f>
        <v>0.54545454545454541</v>
      </c>
      <c r="N55" s="2">
        <f>AVERAGEIF(B2:B51,"方法细节类",N2:N51)</f>
        <v>0.36363636363636365</v>
      </c>
    </row>
    <row r="56" spans="1:15" ht="28" x14ac:dyDescent="0.25">
      <c r="A56" s="2" t="s">
        <v>159</v>
      </c>
      <c r="B56" s="2" t="s">
        <v>86</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0.95454545454545459</v>
      </c>
      <c r="J56" s="2">
        <f>AVERAGEIF(B2:B51,"实验结果类",J2:J51)</f>
        <v>0.83554545454545459</v>
      </c>
      <c r="L56" s="2">
        <f>AVERAGEIF(B2:B51,"实验结果类",L2:L51)</f>
        <v>1.7272727272727273</v>
      </c>
      <c r="M56" s="2">
        <f>AVERAGEIF(B2:B51,"实验结果类",M2:M51)</f>
        <v>9.0909090909090912E-2</v>
      </c>
      <c r="N56" s="2">
        <f>AVERAGEIF(B2:B51,"实验结果类",N2:N51)</f>
        <v>0.27272727272727271</v>
      </c>
    </row>
    <row r="57" spans="1:15" ht="28" x14ac:dyDescent="0.25">
      <c r="A57" s="2" t="s">
        <v>160</v>
      </c>
      <c r="B57" s="2" t="s">
        <v>120</v>
      </c>
      <c r="E57" s="2">
        <f>AVERAGEIFS(E2:E51,B2:B51,"跨论文比较类",K2:K51,FALSE)</f>
        <v>0.75</v>
      </c>
      <c r="F57" s="2">
        <f>AVERAGEIFS(F2:F51,B2:B51,"跨论文比较类",K2:K51,FALSE)</f>
        <v>0.875</v>
      </c>
      <c r="G57" s="2">
        <f>AVERAGEIFS(G2:G51,B2:B51,"跨论文比较类",K2:K51,FALSE)</f>
        <v>0.875</v>
      </c>
      <c r="H57" s="2">
        <f>AVERAGEIFS(H2:H51,B2:B51,"跨论文比较类",K2:K51,FALSE)</f>
        <v>0.79166666666666663</v>
      </c>
      <c r="I57" s="4">
        <f>AVERAGEIFS(I2:I51,B2:B51,"跨论文比较类",K2:K51,FALSE)</f>
        <v>0.81874999999999998</v>
      </c>
      <c r="J57" s="2">
        <f>AVERAGEIF(B2:B51,"跨论文比较类",J2:J51)</f>
        <v>0.81137499999999996</v>
      </c>
      <c r="L57" s="2">
        <f>AVERAGEIF(B2:B51,"跨论文比较类",L2:L51)</f>
        <v>2.125</v>
      </c>
      <c r="M57" s="2">
        <f>AVERAGEIF(B2:B51,"跨论文比较类",M2:M51)</f>
        <v>0.125</v>
      </c>
      <c r="N57" s="2">
        <f>AVERAGEIF(B2:B51,"跨论文比较类",N2:N51)</f>
        <v>1.125</v>
      </c>
    </row>
    <row r="58" spans="1:15" ht="28" x14ac:dyDescent="0.25">
      <c r="A58" s="2" t="s">
        <v>161</v>
      </c>
      <c r="B58" s="2" t="s">
        <v>145</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2026-06-02T15:34:53Z</dcterms:created>
  <dcterms:modified xsi:type="dcterms:W3CDTF">2026-06-03T00:59:24Z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0e28fa01-b2ae-4663-8714-bc3d752f3171</vt:lpwstr>
  </property>
</Properties>
</file>