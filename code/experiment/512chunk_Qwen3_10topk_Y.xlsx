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F406585C-3821-41C3-840D-28332E0CBBB3}" xr6:coauthVersionLast="47" xr6:coauthVersionMax="47" xr10:uidLastSave="{00000000-0000-0000-0000-000000000000}"/>
  <bookViews>
    <workbookView xWindow="-110" yWindow="-110" windowWidth="25820" windowHeight="13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<sst xmlns="http://schemas.openxmlformats.org/spreadsheetml/2006/main" count="226" uniqueCount="164">
  <si>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</si>
  <si>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</si>
  <si>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</si>
  <si>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</si>
  <si>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</si>
  <si>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</si>
  <si>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</si>
  <si>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</si>
  <si>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</si>
  <si>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</si>
  <si>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</si>
  <si>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</si>
  <si>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</si>
  <si>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</si>
  <si>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</si>
  <si>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</si>
  <si>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</si>
  <si>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</si>
  <si>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</si>
  <si>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</si>
  <si>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RAG噪声被分为哪两类？</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</si>
  <si>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</si>
  <si>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</si>
  <si>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</si>
  <si>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</si>
  <si>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</si>
  <si>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</si>
  <si>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</si>
  <si>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</si>
  <si>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</si>
  <si>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</si>
  <si>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</si>
  <si>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</si>
  <si>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</si>
  <si>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</si>
  <si>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</si>
  <si>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</si>
  <si>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</si>
  <si>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</si>
  <si>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</si>
  <si>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</si>
  <si>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</si>
  <si>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</si>
  <si>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</si>
  <si>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</si>
  <si>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</si>
  <si>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</si>
  <si>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</si>
  <si>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</si>
  <si>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</si>
  <si>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</si>
  <si>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</si>
  <si>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</si>
  <si>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Meta-Bench基准测试中，α参数的最优范围是多少？这个参数的作用是什么？</t>
  </si>
  <si>
    <t>α参数的最优范围在0.65到0.8之间。这个参数用于平衡工具描述和参数描述在工具检索中的权重。</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</si>
  <si>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</si>
  <si>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</si>
  <si>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</si>
  <si>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</si>
  <si>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</si>
  <si>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</si>
  <si>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</si>
  <si>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</si>
  <si>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</si>
  <si>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</si>
  <si>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</si>
  <si>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</si>
  <si>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</si>
  <si>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</si>
  <si>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</si>
  <si>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</si>
  <si>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</si>
  <si>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</si>
  <si>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</si>
  <si>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</si>
  <si>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</si>
  <si>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</si>
  <si>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</si>
  <si>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</si>
  <si>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</si>
  <si>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</si>
  <si>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</si>
  <si>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</si>
  <si>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</si>
  <si>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</si>
  <si>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</si>
  <si>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</si>
  <si>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</si>
  <si>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</si>
  <si>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</si>
  <si>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</si>
  <si>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</si>
  <si>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</si>
  <si>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</si>
  <si>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根据已有信息，无法回答此问题。</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</si>
  <si>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</si>
  <si>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</si>
  <si>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</si>
  <si>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</si>
  <si>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</si>
  <si>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</si>
  <si>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</si>
  <si>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</si>
  <si>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</si>
  <si>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</si>
  <si>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</si>
  <si>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"ProLong"模型在训练过程中使用了哪种具体的优化器来处理长序列训练的梯度问题？</t>
  </si>
  <si>
    <t>SETR模型在训练时具体的训练时间是多少小时？</t>
  </si>
  <si>
    <t>根据已有信息，无法回答此问题。提供的论文片段中提到了SETR的训练配置（如5个epoch、学习率5e-6、有效批次大小512、使用16块A100 GPU），但未提及具体的训练时间（小时数）。</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</si>
  <si>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</si>
  <si>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</si>
  <si>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</si>
  <si>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</si>
  <si>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</si>
  <si>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</si>
  <si>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</si>
  <si>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</si>
  <si>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</si>
  <si>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</si>
  <si>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</si>
  <si>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作者将post-training scaling分为三个主要方法：监督微调（Supervised Fine-tuning, SFT）、强化学习（Reinforcement Learning, RL）和测试时计算（Test-time Compute, TTC）。
来自: [A Survey of Post-Training Scaling in Large Language Models, 第2页, A Survey of Post-Training Scaling in Large Language Models_chunk_004]</t>
  </si>
  <si>
    <t>Silver noise是一种包含部分但不完整答案的噪声。
来自: [SafeRAG: Benchmarking Security in Retrieval-Augmented Generation of Large Language Model, 第4页, SafeRAG: Benchmarking Security in Retrieval-Augmented Generation of Large Language Model_chunk_009]</t>
  </si>
  <si>
    <t>RAG噪声被分为有益噪声和有害噪声两类。
来自: [Pandora’s Box or Aladdin’s Lamp: A Comprehensive Analysis Revealing the Role of RAG Noise in Large Language Models, 第2页, Pandora’s Box or Aladdin’s Lamp: A Comprehensive Analysis Revealing the Role of RAG Noise in Large Language Models_chunk_005]</t>
  </si>
  <si>
    <t>Ref-Long是一个评估长上下文语言模型（LCLMs）长上下文引用能力的基准，要求模型识别引用特定键的文档索引，强调键与文档之间的上下文关系而非简单检索。
来自: [Ref-Long: Benchmarking the Long-context Referencing Capability of Long-context Language Models, 第1页, Ref-Long: Benchmarking the Long-context Referencing Capability of Long-context Language Models_chunk_000] [Ref-Long: Benchmarking the Long-context Referencing Capability of Long-context Language Models, 第2页, Ref-Long: Benchmarking the Long-context Referencing Capability of Long-context Language Models_chunk_002]</t>
  </si>
  <si>
    <t>SYNQA是一种生成式方法，通过给定选定的上下文句子，让大型语言模型生成完全由这些句子支持的问题-答案对。
来自: [On Synthesizing Data for Context Attribution in Question Answering, 第2页, On Synthesizing Data for Context Attribution in Question Answering_chunk_004]</t>
  </si>
  <si>
    <t>AgenticLU是一个旨在通过集成有针对性的自我澄清与上下文接地，在代理工作流中增强大语言模型对长上下文查询理解的框架。
来自: [Self-Taught Agentic Long-Context Understanding, 第1页, Self-Taught Agentic Long-Context Understanding_chunk_000]</t>
  </si>
  <si>
    <t>Agentic Reasoning是一个通过集成外部基于LLM的代理工具（如网页搜索、编程和思维导图）来增强LLM推理的框架。
来自: [Agentic Reasoning: A Streamlined Framework for Enhancing LLM Reasoning with Agentic Tools, 第2页, Agentic Reasoning: A Streamlined Framework for Enhancing LLM Reasoning with Agentic Tools_chunk_004]</t>
  </si>
  <si>
    <t>在Humanity's Last Exam数据集上，Agentic Reasoning与DeepSeek-R1结合后准确率达到23.8%，相比基础模型DeepSeek-R1的9.4%提升了14.4个百分点。与OpenAI Deep Research的差距从原来的17.2%大幅缩小至仅2.8%。
来自: [Agentic Reasoning: A Streamlined Framework for Enhancing LLM Reasoning with Agentic Tools, 第1页, Agentic Reasoning: A Streamlined Framework for Enhancing LLM Reasoning with Agentic Tools_chunk_002]</t>
  </si>
  <si>
    <t>在GAIA基准测试中，Agentic Reasoning在Level 1上达到74.36，Level 2上达到69.21，Level 3上达到45.46，平均分66.13。
来自: [Agentic Reasoning: A Streamlined Framework for Enhancing LLM Reasoning with Agentic Tools, 第5页, Agentic Reasoning: A Streamlined Framework for Enhancing LLM Reasoning with Agentic Tools_chunk_010]</t>
  </si>
  <si>
    <t>根据已有信息，论文未提供Mind-Map agent的具体神经网络架构（如层数、参数等细节），仅说明其知识图谱构建和Graph-RAG检索均使用DeepSeek-V3模型。
来自: [Agentic Reasoning: A Streamlined Framework for Enhancing LLM Reasoning with Agentic Tools, 第5页, Agentic Reasoning: A Streamlined Framework for Enhancing LLM Reasoning with Agentic Tools_chunk_009]</t>
  </si>
  <si>
    <t>REAL-MM-RAG 基准测试旨在解决的四个关键属性是：(i) 多模态文档，(ii) 增强难度，(iii) 真实RAG查询，以及 (iv) 准确标注。
来自: [REAL-MM-RAG:AReal-World Multi-Modal Retrieval Benchmark, 第1页, REAL-MM-RAG:AReal-World Multi-Modal Retrieval Benchmark_chunk_001]</t>
  </si>
  <si>
    <t>ASTUTE RAG是一种新颖的检索增强生成方法，旨在对不完美的检索增强具有弹性，同时在检索可靠时保持RAG的接地效果。它通过区分LLM内部知识与外部检索信息中的一致和冲突内容，评估可靠性并整合可信信息，从而提升RAG系统在检索质量不佳或存在知识冲突时的鲁棒性和准确性，甚至在所有检索段落都无帮助的最坏情况下，性能可接近或超过无检索的LLM。
来自: [ASTUTE RAG: Overcoming Imperfect Retrieval Augmentation and Knowledge Conflicts for Large Language Models, 第2页, ASTUTE RAG: Overcoming Imperfect Retrieval Augmentation and Knowledge Conflicts for Large Language Models_chunk_004]</t>
  </si>
  <si>
    <t>知识整合过程包含三个主要步骤：识别跨段落的一致信息，检测各组一致信息之间的冲突，以及过滤无关信息。
来自: [ASTUTE RAG: Overcoming Imperfect Retrieval Augmentation and Knowledge Conflicts for Large Language Models, 第5页, ASTUTE RAG: Overcoming Imperfect Retrieval Augmentation and Knowledge Conflicts for Large Language Models_chunk_011]</t>
  </si>
  <si>
    <t>L-CiteEval 是一个开箱即用的评估套件，要求长上下文模型生成陈述及其支持引用，并包含一个多任务长上下文基准和相应的自动评估指标与验证管道。
来自: [L-CiteEval: A Suite for Evaluating Fidelity of Long-context Models, 第1页, L-CiteEval: A Suite for Evaluating Fidelity of Long-context Models_chunk_002]</t>
  </si>
  <si>
    <t>LongBench v2基准测试包含503个多项选择题，上下文长度范围从8k到2M词。
来自: [LongBench v2: Towards Deeper Understanding and Reasoning on Realistic Long-context Multitasks, 第1页, LongBench v2: Towards Deeper Understanding and Reasoning on Realistic Long-context Multitasks_chunk_002]</t>
  </si>
  <si>
    <t>RHIO框架的三个主要组成部分是：不忠实数据增强（unfaithful data augmentation）、忠实性感知调优（faithfulness-aware tuning）和自诱导解码（self-induced decoding）。
来自: [Improving Contextual Faithfulness of Large Language Models via Retrieval Heads-Induced Optimization, 第15页, Improving Contextual Faithfulness of Large Language Models via Retrieval Heads-Induced Optimization_chunk_030]</t>
  </si>
  <si>
    <t>在监督微调（SFT）阶段，论文作者发现使用标准的短上下文指令数据集（如UltraChat）就足以在长上下文任务上取得最佳性能，而添加长合成指令数据反而会损害性能。
来自: [How to Train Long-Context Language Models (Effectively), 第1页, How to Train Long-Context Language Models (Effectively)_chunk_002]
来自: [How to Train Long-Context Language Models (Effectively), 第6页, How to Train Long-Context Language Models (Effectively)_chunk_015]</t>
  </si>
  <si>
    <t>根据已有信息，无法确定ProLong模型使用了哪种具体的优化器。提供的片段中仅列出了优化器的部分参数（如decay = 0.1, β₁ = 0.9, β₂ = 0.95），但未提及优化器的具体名称（如AdamW等）。
来自: [How to Train Long-Context Language Models (Effectively), 第1页, How to Train Long-Context Language Models (Effectively)_chunk_002]</t>
  </si>
  <si>
    <t>LongRefiner 通过将推理过程拆分为离线与在线两个阶段来降低在线延迟：离线阶段预先对语料库中的文档执行层次化文档结构化任务；在线阶段仅需处理用户查询分析及自适应精炼，由于在线阶段只涉及数百个输入 token 和数十个输出 token，整体延迟仅为标准设置的约 25%。
来自: [Hierarchical Document Refinement for Long-context Retrieval-augmented Generation, 第6页, Hierarchical Document Refinement for Long-context Retrieval-augmented Generation_chunk_013] 和 [Hierarchical Document Refinement for Long-context Retrieval-augmented Generation, 第15页, Hierarchical Document Refinement for Long-context Retrieval-augmented Generation_chunk_029]</t>
  </si>
  <si>
    <t>DRAG框架通过本地小模型对用户查询进行改写，剥离其中的敏感信息，然后将去标识化的查询发送给云端大模型，云端模型仅返回相关证据和知识图谱，最后由本地小模型结合这些信息生成最终答案，从而避免用户隐私数据直接暴露给云端。
来自: [DRAG: Distilling RAG for SLMs from LLMs to Transfer Knowledge and Mitigate Hallucination via Evidence and Graph-based Distillation, 第5页, DRAG: Distilling RAG for SLMs from LLMs to Transfer Knowledge and Mitigate Hallucination via Evidence and Graph-based Distillation_chunk_010]</t>
  </si>
  <si>
    <t>SG-MCTS 的工作流程每轮迭代包含四个步骤：选择、反思引导的扩展、评估和反向传播。在选择阶段，利用 UCT 算法从搜索树中选出最优节点。扩展阶段则通过自我反思对中间状态进行实时批评与细化：模型生成搜索查询、检索证据，若证据不充分则迭代反思并修正查询，最终生成句子并标注引用。评估阶段使用进度奖励模型从生成进度和归因进度两方面计算节点奖励。反向传播阶段将奖励沿路径回传，更新树节点值，以指导后续搜索。
来自: [Think&amp;Cite: Improving Attributed Text Generation with Self-Guided Tree Search and Progress Reward Modeling, 第3页, Think&amp;Cite: Improving Attributed Text Generation with Self-Guided Tree Search and Progress Reward Modeling_chunk_006] 和 [Think&amp;Cite: Improving Attributed Text Generation with Self-Guided Tree Search and Progress Reward Modeling, 第4页, Think&amp;Cite: Improving Attributed Text Generation with Self-Guided Tree Search and Progress Reward Modeling_chunk_008]</t>
  </si>
  <si>
    <t>SETR 的段落选择提示引导的关键过程包含以下三个步骤：
1. **列举信息需求**：分解输入问题，列出回答该问题所需的关键信息子目标。
2. **匹配相关段落**：针对每个信息需求，识别出包含相关信息的候选段落。
3. **选择最优段落子集**：从候选段落中选出一个子集，使其共同提供最全面、多样化的信息覆盖，以有效回答查询。
来自: [Shifting from Ranking to Set Selection for Retrieval Augmented Generation, 第3页, Shifting from Ranking to Set Selection for Retrieval Augmented Generation_chunk_006] 和 [Shifting from Ranking to Set Selection for Retrieval Augmented Generation, 第4页, Shifting from Ranking to Set Selection for Retrieval Augmented Generation_chunk_008]</t>
  </si>
  <si>
    <t>α参数的最优范围是0.65到0.8。该参数用于平衡工具描述和参数描述在工具检索中的权重，从而影响检索性能。
来自: [Meta-Tool: Unleash Open-World Function Calling Capabilities of General-Purpose Large Language Models, 第20页, Meta-Tool: Unleash Open-World Function Calling Capabilities of General-Purpose Large Language Models_chunk_033]</t>
  </si>
  <si>
    <t>CypherBench 通过两个步骤从 RDF 图生成领域特定的属性图：  
1. **领域特定模式策展**：人工选定领域，手动设计属性图模式，并建立从 Wikidata 模式到该模式的映射，包括实体类型（QID）、关系类型和属性（PID）的对应关系。  
2. **自动 RDF 到属性图转换**：基于策展的模式，通过向 Wikidata 发送 SPARQL 查询，获取所有符合模式的实体和关系，并将其转换为目标属性图中的节点和边。转换引擎还支持数据类型转换、单位标准化、排名过滤等功能，确保输出严格类型化的数据。
来自: [CYPHERBENCH: Towards Precise Retrieval over Full-scale Modern Knowledge Graphs in the LLM Era, 第4页, CYPHERBENCH: Towards Precise Retrieval over Full-scale Modern Knowledge Graphs in the LLM Era_chunk_007]  
来自: [CYPHERBENCH: Towards Precise Retrieval over Full-scale Modern Knowledge Graphs in the LLM Era, 第5页, CYPHERBENCH: Towards Precise Retrieval over Full-scale Modern Knowledge Graphs in the LLM Era_chunk_008]</t>
  </si>
  <si>
    <t>ClinRaGen的三阶段理由蒸馏范式为：第一阶段从医疗笔记中蒸馏理由，使小语言模型建立对文本临床信息的基础理解；第二阶段引入知识增强注意力，将数值化实验室测试与结构化医学知识对齐，以蒸馏基于实验室测试的理由；第三阶段完全整合文本与数值输入，使模型生成临床连贯的多模态理由以支持疾病诊断。
来自: [Knowledge-Augmented Multimodal Clinical Rationale Generation for Disease Diagnosis with Small Language Models, 第4页, Knowledge-Augmented Multimodal Clinical Rationale Generation for Disease Diagnosis with Small Language Models_chunk_008]</t>
  </si>
  <si>
    <t>QAEncoder通过查询中心的方法弥合文档-查询差距：首先为每个文档生成多样化的查询，并利用蒙特卡洛方法估计潜在查询的聚类中心，以此作为文档的替代嵌入，从而对齐查询与文档的语义空间；同时，引入文档指纹策略，重新注入文档的独特身份，以保持文档表示的可区分性，避免所有文档表示变得过于相似。
来自: [QAEncoder: Towards Aligned Representation Learning in Question Answering Systems, 第1页, QAEncoder: Towards Aligned Representation Learning in Question Answering Systems_chunk_003]  
来自: [QAEncoder: Towards Aligned Representation Learning in Question Answering Systems, 第2页, QAEncoder: Towards Aligned Representation Learning in Question Answering Systems_chunk_004]  
来自: [QAEncoder: Towards Aligned Representation Learning in Question Answering Systems, 第4页, QAEncoder: Towards Aligned Representation Learning in Question Answering Systems_chunk_008]</t>
  </si>
  <si>
    <t>QAEncoder侧重于优化QA系统的**检索阶段**，其核心痛点是密集检索器中存在的**文档-查询语义差距**（document-query gap），即文档表示与用户查询表示在语义空间中不匹配的问题。
来自: [QAEncoder: Towards Aligned Representation Learning in Question Answering Systems, 第1页, QAEncoder: Towards Aligned Representation Learning in Question Answering Systems_chunk_003] 和 [QAEncoder: Towards Aligned Representation Learning in Question Answering Systems, 第2页, QAEncoder: Towards Aligned Representation Learning in Question Answering Systems_chunk_004]
On Synthesizing Data for Context Attribution in Question Answering（SYNQA）侧重于优化QA系统的**后处理/归因阶段**（即答案生成之后），其核心痛点是训练上下文归因模型时对**大规模人工标注数据集的依赖**，以及由此带来的可扩展性问题。
来自: [On Synthesizing Data for Context Attribution in Question Answering, 第9页, On Synthesizing Data for Context Attribution in Question Answering_chunk_024] 和 [On Synthesizing Data for Context Attribution in Question Answering, 第8页, On Synthesizing Data for Context Attribution in Question Answering_chunk_020]</t>
  </si>
  <si>
    <t>在 HALOGEN 的文本简化任务中，验证方法与摘要任务相同：首先使用 GPT-3.5 将模型生成的简化文本分解为独立的原子事实，然后使用 Llama-2-70B 对每个原子事实进行蕴含判断，以确定其是否忠实于原文。
来自: [HALOGEN :FantasticLLMHallucinations and Where to Find Them, 第3页, HALOGEN :FantasticLLMHallucinations and Where to Find Them_chunk_006]</t>
  </si>
  <si>
    <t>在 HALoGEN 基准测试中，表现最好的 LLM（GPT-4）生成事实的幻觉率范围因任务而异，从 3% 到 86% 不等。
来自: [HALOGEN :FantasticLLMHallucinations and Where to Find Them, 第1页, HALOGEN :FantasticLLMHallucinations and Where to Find Them_chunk_001]</t>
  </si>
  <si>
    <t>在Cited scenario中，GPT-4o是表现最好的模型，而Llama-3-70B与GPT-4o-mini性能相当；在Full scenario中，Llama-3-70B则超越GPT-4o，取得了最佳性能。
来自: [CiteEval: Principle-Driven Citation Evaluation for Source Attribution, 第7页, CiteEval: Principle-Driven Citation Evaluation for Source Attribution_chunk_018]</t>
  </si>
  <si>
    <t>FaithfulRAG在FaithEval数据集上使用Mistral-7B作为backbone时准确率为81.7%，相比最强基线KRE的73.2%提高了8.5%。
来自: [FaithfulRAG: Fact-Level Conflict Modeling for Context-Faithful Retrieval-Augmented Generation, 第7页, FaithfulRAG: Fact-Level Conflict Modeling for Context-Faithful Retrieval-Augmented Generation_chunk_019]</t>
  </si>
  <si>
    <t>《Astute RAG》通过**自适应生成内部知识（adaptive generation of internal knowledge）**来提取LLM的内部知识，即利用LLM根据查询自适应地生成内部段落（I）。  
《FaithfulRAG》则通过**Self-Fact Mining（自我事实挖掘）**模块来提取内部知识，该模块通过外部化LLM的参数化知识，分层提取高层次的自我知识、生成自我上下文并最终提炼为细粒度的自我事实。
来自: [ASTUTE RAG: Overcoming Imperfect Retrieval Augmentation and Knowledge Conflicts for Large Language Models, 第4页, ASTUTE RAG: Overcoming Imperfect Retrieval Augmentation and Knowledge Conflicts for Large Language Models_chunk_008]  
来自: [FaithfulRAG: Fact-Level Conflict Modeling for Context-Faithful Retrieval-Augmented Generation, 第4页, FaithfulRAG: Fact-Level Conflict Modeling for Context-Faithful Retrieval-Augmented Generation_chunk_010]</t>
  </si>
  <si>
    <t>RankCoT 相较于 vanilla RAG 模型，平均准确率提升了约 2.5%；在不同规模的 RAG 系统上，它相对于 MiniCPM3-4B 和 Qwen2.5-14B-Instruct 分别带来了 7.6% 和 4.1% 的提升。这说明 RankCoT 能够有效提炼检索到的知识，生成更有意义的精炼信息，帮助 LLM 更准确地回答问题，并且在不同配置下具有良好的泛化能力。
来自: [RankCoT: Refining Knowledge for Retrieval-Augmented Generation through Ranking Chain-of-Thoughts, 第6页, RankCoT: Refining Knowledge for Retrieval-Augmented Generation through Ranking Chain-of-Thoughts_chunk_018]</t>
  </si>
  <si>
    <t>在LongBench v2基准测试中，人类专家在15分钟时间限制下的准确率为53.7%。
来自: [LongBench v2: Towards Deeper Understanding and Reasoning on Realistic Long-context Multitasks, 第1页, LongBench v2: Towards Deeper Understanding and Reasoning on Realistic Long-context Multitasks_chunk_000]</t>
    <phoneticPr fontId="2" type="noConversion"/>
  </si>
  <si>
    <t>AGENTSTAR在WebShop、ALFWorld和BabyAI任务上均显著优于GPT-4-Turbo，分别高出61.00、20.50和9.87分。
来自: [AGENTGYM: Evaluating and Training Large Language Model-based Agents across Diverse Environments, 第7页, AGENTGYM: Evaluating and Training Large Language Model-based Agents across Diverse Environments_chunk_020]</t>
  </si>
  <si>
    <t>LongBench v2 是一个专注于评估大语言模型在长文本场景下深度理解与推理能力的基准测试，涵盖单文档问答、多文档问答、长上下文学习等六类任务，上下文长度从 8k 到 2M 词，属于静态文本理解评估。  
AGENTGYM 则是一个面向基于 LLM 的通用智能体的交互式框架，覆盖网页导航、文字游戏、家务、数字游戏、具身任务、工具使用和编程等七类真实世界场景，支持智能体在多轮交互中探索、评估和自我改进，属于动态决策与行动能力的评估与训练平台。
来自: [LongBench v2: Towards Deeper Understanding and Reasoning on Realistic Long-context Multitasks, 第1页, LongBench v2: Towards Deeper Understanding and Reasoning on Realistic Long-context Multitasks_chunk_000]  
来自: [LongBench v2: Towards Deeper Understanding and Reasoning on Realistic Long-context Multitasks, 第3页, LongBench v2: Towards Deeper Understanding and Reasoning on Realistic Long-context Multitasks_chunk_009]  
来自: [AGENTGYM: Evaluating and Training Large Language Model-based Agents across Diverse Environments, 第1页, AGENTGYM: Evaluating and Training Large Language Model-based Agents across Diverse Environments_chunk_001]  
来自: [AGENTGYM: Evaluating and Training Large Language Model-based Agents across Diverse Environments, 第4页, AGENTGYM: Evaluating and Training Large Language Model-based Agents across Diverse Environments_chunk_008]</t>
  </si>
  <si>
    <t>在Asclepius基准测试中，人类医生的整体表现优于所有被评估的Med-MLLMs。具体而言，即使是一位平均准确率为57.4%的初级医生，其表现也略高于最优秀的Med-MLLM GPT-4V（准确率54.3%）。不过，GPT-4V的表现已与初级人类医生相当，表明其有潜力辅助诊断过程。此外，人类医生在不同专科的表现差异很大，而Med-MLLMs在不同专科间的表现差异则明显较小。
来自: [Asclepius: A Spectrum Evaluation Benchmark for Medical Multi-Modal Large Language Models, 第7页, Asclepius: A Spectrum Evaluation Benchmark for Medical Multi-Modal Large Language Models_chunk_016]
来自: [Asclepius: A Spectrum Evaluation Benchmark for Medical Multi-Modal Large Language Models, 第7页, Asclepius: A Spectrum Evaluation Benchmark for Medical Multi-Modal Large Language Models_chunk_015]</t>
  </si>
  <si>
    <t>在LongDocURL基准测试中，GPT-4o是得分最高的模型，也是唯一达到及格标准的模型，其广义准确率得分为64.5分（人类专家得分为84.8分）。相比之下，开源模型整体表现较弱，只有Qwen2-VL（得分30.6）和LLaVA-OneVision（得分22.0和25.0）的分数超过了20分。
来自: [LongDocURL: a Comprehensive Multimodal Long Document Benchmark Integrating Understanding, Reasoning, and Locating, 第6页, LongDocURL: a Comprehensive Multimodal Long Document Benchmark Integrating Understanding, Reasoning, and Locating_chunk_013]
来自: [LongDocURL: a Comprehensive Multimodal Long Document Benchmark Integrating Understanding, Reasoning, and Locating, 第16页, LongDocURL: a Comprehensive Multimodal Long Document Benchmark Integrating Understanding, Reasoning, and Locating_chunk_042]</t>
  </si>
  <si>
    <t>RAGEval 使用 LLM 对提出的指标进行评分，与人工评估表现出高度一致性。
来自: [RAGEval: Scenario Specific RAG Evaluation Dataset Generation Framework, 第1页, RAGEval: Scenario Specific RAG Evaluation Dataset Generation Framework_chunk_000]</t>
  </si>
  <si>
    <t>UniRAG 的核心创新在于将查询增强与查询编码统一到一个解码器 LLM 中，消除了传统方法中任务分离导致的信息共享不足和累积误差，并能够根据用户查询自适应地选择最优增强策略（查询释义、查询扩展或查询抽象）。  
FaithfulRAG 的核心创新并不直接针对查询理解，而是聚焦于生成阶段：通过自事实挖掘模块提取问题相关的细粒度知识，并利用自思考模块对检索上下文与模型参数知识之间的冲突进行事实级诊断与协调，从而在保持忠实性的同时避免误解上下文。
来自: [UniRAG: Unified Query Understanding Method for Retrieval Augmented Generation, 第1页, UniRAG: Unified Query Understanding Method for Retrieval Augmented Generation_chunk_000]  
来自: [UniRAG: Unified Query Understanding Method for Retrieval Augmented Generation, 第1页, UniRAG: Unified Query Understanding Method for Retrieval Augmented Generation_chunk_002]  
来自: [FaithfulRAG: Fact-Level Conflict Modeling for Context-Faithful Retrieval-Augmented Generation, 第2页, FaithfulRAG: Fact-Level Conflict Modeling for Context-Faithful Retrieval-Augmented Generation_chunk_005]  
来自: [FaithfulRAG: Fact-Level Conflict Modeling for Context-Faithful Retrieval-Augmented Generation, 第13页, FaithfulRAG: Fact-Level Conflict Modeling for Context-Faithful Retrieval-Augmented Generation_chunk_027]</t>
  </si>
  <si>
    <t>MEMERAG和DragonBall都是多语言RAG评估基准，但MEMERAG是元评估基准，用于开发自动评估器，评估维度为Faithfulness和Relevance；DragonBall是场景特定基准，用于评估RAG系统，评估维度为Completeness、Hallucination和Irrelevance。两者都支持多语言，MEMERAG覆盖5种语言，DragonBall仅中英文。
来自: [MEMERAG:AMultilingual End-to-End Meta-Evaluation Benchmark for Retrieval Augmented Generation, 第3页, MEMERAG:AMultilingual End-to-End Meta-Evaluation Benchmark for Retrieval Augmented Generation_chunk_007] (MEMERAG维度和多语言)
来自: [RAGEval: Scenario Specific RAG Evaluation Dataset Generation Framework, 第2页, RAGEval: Scenario Specific RAG Evaluation Dataset Generation Framework_chunk_002] (DragonBall维度)
来自: [RAGEval: Scenario Specific RAG Evaluation Dataset Generation Framework, 第4页, RAGEval: Scenario Specific RAG Evaluation Dataset Generation Framework_chunk_008] (DragonBall多语言和场景)</t>
  </si>
  <si>
    <t>Agentic Reasoning 的核心机制是集成外部 LLM-based 代理工具（网络搜索、代码执行和构建知识图谱的 Mind-Map），在推理过程中动态调用这些代理来辅助问题求解。  
AR-MCTS 的核心机制是将主动检索（Active Retrieval）与蒙特卡洛树搜索（MCTS）相结合，在 MCTS 扩展阶段动态检索相关知识以增强采样多样性与准确性，并逐步对齐过程奖励模型（PRM）实现过程级推理验证。
来自: [Agentic Reasoning: A Streamlined Framework for Enhancing LLM Reasoning with Agentic Tools, 第2页, Agentic Reasoning: A Streamlined Framework for Enhancing LLM Reasoning with Agentic Tools_chunk_003]  
来自: [Agentic Reasoning: A Streamlined Framework for Enhancing LLM Reasoning with Agentic Tools, 第2页, Agentic Reasoning: A Streamlined Framework for Enhancing LLM Reasoning with Agentic Tools_chunk_004]  
来自: [Progressive Multimodal Reasoning via Active Retrieval, 第1页, Progressive Multimodal Reasoning via Active Retrieval_chunk_000]  
来自: [Progressive Multimodal Reasoning via Active Retrieval, 第2页, Progressive Multimodal Reasoning via Active Retrieval_chunk_003]</t>
  </si>
  <si>
    <t>MAIN‑RAG 采用训练无关的多智能体协同过滤方法，通过多个LLM代理对检索文档进行评分和筛选，动态调整相关性阈值，仅保留高质量文档用于生成。  
RAG‑Critic 采用基于批评模型反馈的智能体工作流方法，先构建层级化错误体系并训练错误批评模型，再由规划代理根据错误反馈自动定制和执行修正方案，实现错误驱动的自我纠正。
来自: [MAIN-RAG: Multi-Agent Filtering Retrieval-Augmented Generation, 第1页, MAIN-RAG: Multi-Agent Filtering Retrieval-Augmented Generation_chunk_004]  
来自: [RAG-Critic: Leveraging Automated Critic-Guided Agentic Workflow for Retrieval Augmented Generation, 第2页, RAG-Critic: Leveraging Automated Critic-Guided Agentic Workflow for Retrieval Augmented Generation_chunk_002]</t>
  </si>
  <si>
    <t>CypherBench 提出了什么核心方法来应对 RDF 查询的挑战？</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</si>
</sst>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宋体"/>
      <family val="2"/>
      <scheme val="minor"/>
    </font>
    <font>
      <b/>
      <sz val="11"/>
      <name val="宋体"/>
      <family val="3"/>
      <charset val="134"/>
    </font>
    <font>
      <sz val="9"/>
      <name val="宋体"/>
      <family val="3"/>
      <charset val="134"/>
      <scheme val="minor"/>
    </font>
    <font>
      <sz val="11"/>
      <color theme="1"/>
      <name val="宋体"/>
      <family val="2"/>
      <charset val="161"/>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0" fillId="3" borderId="0" xfId="0" applyFill="1" applyAlignment="1">
      <alignment vertical="center" wrapText="1"/>
    </xf>
    <xf numFmtId="0" fontId="3" fillId="0" borderId="0" xfId="0" applyFont="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21" workbookViewId="0">
      <selection activeCell="Q21" sqref="Q21"/>
    </sheetView>
  </sheetViews>
  <sheetFormatPr defaultRowHeight="14" x14ac:dyDescent="0.25"/>
  <cols>
    <col min="1" max="1" width="25.1796875" style="2" customWidth="1"/>
    <col min="2" max="2" width="10.54296875" style="2" customWidth="1"/>
    <col min="3" max="4" width="25.179687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210" x14ac:dyDescent="0.25">
      <c r="A2" s="2" t="s">
        <v>15</v>
      </c>
      <c r="B2" s="2" t="s">
        <v>16</v>
      </c>
      <c r="C2" s="2" t="s">
        <v>17</v>
      </c>
      <c r="D2" s="2" t="s">
        <v>120</v>
      </c>
      <c r="E2" s="2">
        <v>1</v>
      </c>
      <c r="F2" s="2">
        <v>1</v>
      </c>
      <c r="G2" s="2">
        <v>1</v>
      </c>
      <c r="H2" s="2">
        <v>1</v>
      </c>
      <c r="I2" s="4">
        <v>1</v>
      </c>
      <c r="J2" s="2">
        <v>1</v>
      </c>
      <c r="K2" s="2" t="b">
        <v>0</v>
      </c>
      <c r="L2" s="2">
        <v>3</v>
      </c>
      <c r="M2" s="2">
        <v>0</v>
      </c>
      <c r="N2" s="2">
        <v>0</v>
      </c>
    </row>
    <row r="3" spans="1:15" ht="168" x14ac:dyDescent="0.25">
      <c r="A3" s="2" t="s">
        <v>18</v>
      </c>
      <c r="B3" s="2" t="s">
        <v>16</v>
      </c>
      <c r="C3" s="2" t="s">
        <v>19</v>
      </c>
      <c r="D3" s="2" t="s">
        <v>121</v>
      </c>
      <c r="E3" s="2">
        <v>0</v>
      </c>
      <c r="F3" s="2">
        <v>0</v>
      </c>
      <c r="G3" s="2">
        <v>0</v>
      </c>
      <c r="H3" s="2">
        <v>0</v>
      </c>
      <c r="I3" s="4">
        <v>1</v>
      </c>
      <c r="J3" s="2">
        <v>1</v>
      </c>
      <c r="K3" s="2" t="b">
        <v>0</v>
      </c>
      <c r="L3" s="2">
        <v>1</v>
      </c>
      <c r="M3" s="2">
        <v>0</v>
      </c>
      <c r="N3" s="2">
        <v>0</v>
      </c>
    </row>
    <row r="4" spans="1:15" ht="210" x14ac:dyDescent="0.25">
      <c r="A4" s="2" t="s">
        <v>20</v>
      </c>
      <c r="B4" s="2" t="s">
        <v>16</v>
      </c>
      <c r="C4" s="2" t="s">
        <v>21</v>
      </c>
      <c r="D4" s="2" t="s">
        <v>122</v>
      </c>
      <c r="E4" s="2">
        <v>1</v>
      </c>
      <c r="F4" s="2">
        <v>1</v>
      </c>
      <c r="G4" s="2">
        <v>1</v>
      </c>
      <c r="H4" s="2">
        <v>1</v>
      </c>
      <c r="I4" s="4">
        <v>1</v>
      </c>
      <c r="J4" s="2">
        <v>1</v>
      </c>
      <c r="K4" s="2" t="b">
        <v>0</v>
      </c>
      <c r="L4" s="2">
        <v>1</v>
      </c>
      <c r="M4" s="2">
        <v>0</v>
      </c>
      <c r="N4" s="2">
        <v>0</v>
      </c>
    </row>
    <row r="5" spans="1:15" ht="378" x14ac:dyDescent="0.25">
      <c r="A5" s="2" t="s">
        <v>22</v>
      </c>
      <c r="B5" s="2" t="s">
        <v>16</v>
      </c>
      <c r="C5" s="2" t="s">
        <v>23</v>
      </c>
      <c r="D5" s="2" t="s">
        <v>123</v>
      </c>
      <c r="E5" s="2">
        <v>1</v>
      </c>
      <c r="F5" s="2">
        <v>1</v>
      </c>
      <c r="G5" s="2">
        <v>1</v>
      </c>
      <c r="H5" s="2">
        <v>1</v>
      </c>
      <c r="I5" s="4">
        <v>1</v>
      </c>
      <c r="J5" s="2">
        <v>0.8</v>
      </c>
      <c r="K5" s="2" t="b">
        <v>0</v>
      </c>
      <c r="L5" s="2">
        <v>2</v>
      </c>
      <c r="M5" s="2">
        <v>0</v>
      </c>
      <c r="N5" s="2">
        <v>1</v>
      </c>
    </row>
    <row r="6" spans="1:15" ht="196" x14ac:dyDescent="0.25">
      <c r="A6" s="2" t="s">
        <v>24</v>
      </c>
      <c r="B6" s="2" t="s">
        <v>16</v>
      </c>
      <c r="C6" s="2" t="s">
        <v>25</v>
      </c>
      <c r="D6" s="2" t="s">
        <v>124</v>
      </c>
      <c r="E6" s="2">
        <v>1</v>
      </c>
      <c r="F6" s="2">
        <v>1</v>
      </c>
      <c r="G6" s="2">
        <v>1</v>
      </c>
      <c r="H6" s="2">
        <v>1</v>
      </c>
      <c r="I6" s="4">
        <v>1</v>
      </c>
      <c r="J6" s="2">
        <v>0.85699999999999998</v>
      </c>
      <c r="K6" s="2" t="b">
        <v>0</v>
      </c>
      <c r="L6" s="2">
        <v>3</v>
      </c>
      <c r="M6" s="2">
        <v>0</v>
      </c>
      <c r="N6" s="2">
        <v>1</v>
      </c>
    </row>
    <row r="7" spans="1:15" ht="196" x14ac:dyDescent="0.25">
      <c r="A7" s="2" t="s">
        <v>26</v>
      </c>
      <c r="B7" s="2" t="s">
        <v>16</v>
      </c>
      <c r="C7" s="2" t="s">
        <v>27</v>
      </c>
      <c r="D7" s="2" t="s">
        <v>125</v>
      </c>
      <c r="E7" s="2">
        <v>1</v>
      </c>
      <c r="F7" s="2">
        <v>1</v>
      </c>
      <c r="G7" s="2">
        <v>1</v>
      </c>
      <c r="H7" s="2">
        <v>1</v>
      </c>
      <c r="I7" s="4">
        <v>1</v>
      </c>
      <c r="J7" s="2">
        <v>0.8</v>
      </c>
      <c r="K7" s="2" t="b">
        <v>0</v>
      </c>
      <c r="L7" s="2">
        <v>2</v>
      </c>
      <c r="M7" s="2">
        <v>0</v>
      </c>
      <c r="N7" s="2">
        <v>1</v>
      </c>
    </row>
    <row r="8" spans="1:15" ht="210" x14ac:dyDescent="0.25">
      <c r="A8" s="2" t="s">
        <v>28</v>
      </c>
      <c r="B8" s="2" t="s">
        <v>16</v>
      </c>
      <c r="C8" s="2" t="s">
        <v>29</v>
      </c>
      <c r="D8" s="2" t="s">
        <v>126</v>
      </c>
      <c r="E8" s="2">
        <v>1</v>
      </c>
      <c r="F8" s="2">
        <v>1</v>
      </c>
      <c r="G8" s="2">
        <v>1</v>
      </c>
      <c r="H8" s="2">
        <v>1</v>
      </c>
      <c r="I8" s="4">
        <v>1</v>
      </c>
      <c r="J8" s="2">
        <v>1</v>
      </c>
      <c r="K8" s="2" t="b">
        <v>0</v>
      </c>
      <c r="L8" s="2">
        <v>1</v>
      </c>
      <c r="M8" s="2">
        <v>0</v>
      </c>
      <c r="N8" s="2">
        <v>0</v>
      </c>
    </row>
    <row r="9" spans="1:15" ht="182" x14ac:dyDescent="0.25">
      <c r="A9" s="2" t="s">
        <v>30</v>
      </c>
      <c r="B9" s="2" t="s">
        <v>16</v>
      </c>
      <c r="C9" s="2" t="s">
        <v>31</v>
      </c>
      <c r="D9" s="2" t="s">
        <v>130</v>
      </c>
      <c r="E9" s="2">
        <v>1</v>
      </c>
      <c r="F9" s="2">
        <v>1</v>
      </c>
      <c r="G9" s="2">
        <v>1</v>
      </c>
      <c r="H9" s="2">
        <v>1</v>
      </c>
      <c r="I9" s="4">
        <v>1</v>
      </c>
      <c r="J9" s="2">
        <v>1</v>
      </c>
      <c r="K9" s="2" t="b">
        <v>0</v>
      </c>
      <c r="L9" s="2">
        <v>4</v>
      </c>
      <c r="M9" s="2">
        <v>0</v>
      </c>
      <c r="N9" s="2">
        <v>0</v>
      </c>
    </row>
    <row r="10" spans="1:15" ht="364" x14ac:dyDescent="0.25">
      <c r="A10" s="2" t="s">
        <v>32</v>
      </c>
      <c r="B10" s="2" t="s">
        <v>16</v>
      </c>
      <c r="C10" s="2" t="s">
        <v>33</v>
      </c>
      <c r="D10" s="2" t="s">
        <v>131</v>
      </c>
      <c r="E10" s="2">
        <v>1</v>
      </c>
      <c r="F10" s="2">
        <v>1</v>
      </c>
      <c r="G10" s="2">
        <v>1</v>
      </c>
      <c r="H10" s="2">
        <v>1</v>
      </c>
      <c r="I10" s="4">
        <v>1</v>
      </c>
      <c r="J10" s="2">
        <v>1</v>
      </c>
      <c r="K10" s="2" t="b">
        <v>0</v>
      </c>
      <c r="L10" s="2">
        <v>3</v>
      </c>
      <c r="M10" s="2">
        <v>0</v>
      </c>
      <c r="N10" s="2">
        <v>0</v>
      </c>
    </row>
    <row r="11" spans="1:15" ht="210" x14ac:dyDescent="0.25">
      <c r="A11" s="2" t="s">
        <v>34</v>
      </c>
      <c r="B11" s="2" t="s">
        <v>16</v>
      </c>
      <c r="C11" s="2" t="s">
        <v>35</v>
      </c>
      <c r="D11" s="2" t="s">
        <v>133</v>
      </c>
      <c r="E11" s="2">
        <v>1</v>
      </c>
      <c r="F11" s="2">
        <v>1</v>
      </c>
      <c r="G11" s="2">
        <v>1</v>
      </c>
      <c r="H11" s="2">
        <v>1</v>
      </c>
      <c r="I11" s="4">
        <v>1</v>
      </c>
      <c r="J11" s="2">
        <v>1</v>
      </c>
      <c r="K11" s="2" t="b">
        <v>0</v>
      </c>
      <c r="L11" s="2">
        <v>3</v>
      </c>
      <c r="M11" s="2">
        <v>0</v>
      </c>
      <c r="N11" s="2">
        <v>0</v>
      </c>
    </row>
    <row r="12" spans="1:15" ht="196" x14ac:dyDescent="0.25">
      <c r="A12" s="2" t="s">
        <v>36</v>
      </c>
      <c r="B12" s="2" t="s">
        <v>16</v>
      </c>
      <c r="C12" s="2" t="s">
        <v>37</v>
      </c>
      <c r="D12" s="2" t="s">
        <v>134</v>
      </c>
      <c r="E12" s="2">
        <v>1</v>
      </c>
      <c r="F12" s="2">
        <v>1</v>
      </c>
      <c r="G12" s="2">
        <v>1</v>
      </c>
      <c r="H12" s="2">
        <v>1</v>
      </c>
      <c r="I12" s="4">
        <v>1</v>
      </c>
      <c r="J12" s="2">
        <v>1</v>
      </c>
      <c r="K12" s="2" t="b">
        <v>0</v>
      </c>
      <c r="L12" s="2">
        <v>2</v>
      </c>
      <c r="M12" s="2">
        <v>0</v>
      </c>
      <c r="N12" s="2">
        <v>0</v>
      </c>
    </row>
    <row r="13" spans="1:15" ht="280" x14ac:dyDescent="0.25">
      <c r="A13" s="2" t="s">
        <v>38</v>
      </c>
      <c r="B13" s="2" t="s">
        <v>16</v>
      </c>
      <c r="C13" s="2" t="s">
        <v>39</v>
      </c>
      <c r="D13" s="2" t="s">
        <v>135</v>
      </c>
      <c r="E13" s="2">
        <v>1</v>
      </c>
      <c r="F13" s="2">
        <v>1</v>
      </c>
      <c r="G13" s="2">
        <v>1</v>
      </c>
      <c r="H13" s="2">
        <v>1</v>
      </c>
      <c r="I13" s="4">
        <v>1</v>
      </c>
      <c r="J13" s="2">
        <v>1</v>
      </c>
      <c r="K13" s="2" t="b">
        <v>0</v>
      </c>
      <c r="L13" s="2">
        <v>3</v>
      </c>
      <c r="M13" s="2">
        <v>0</v>
      </c>
      <c r="N13" s="2">
        <v>0</v>
      </c>
    </row>
    <row r="14" spans="1:15" ht="266" x14ac:dyDescent="0.25">
      <c r="A14" s="2" t="s">
        <v>40</v>
      </c>
      <c r="B14" s="2" t="s">
        <v>41</v>
      </c>
      <c r="C14" s="2" t="s">
        <v>42</v>
      </c>
      <c r="D14" s="2" t="s">
        <v>136</v>
      </c>
      <c r="E14" s="2">
        <v>1</v>
      </c>
      <c r="F14" s="2">
        <v>1</v>
      </c>
      <c r="G14" s="2">
        <v>1</v>
      </c>
      <c r="H14" s="2">
        <v>1</v>
      </c>
      <c r="I14" s="4">
        <v>0.5</v>
      </c>
      <c r="J14" s="2">
        <v>1</v>
      </c>
      <c r="K14" s="2" t="b">
        <v>0</v>
      </c>
      <c r="L14" s="2">
        <v>1</v>
      </c>
      <c r="M14" s="2">
        <v>0</v>
      </c>
      <c r="N14" s="2">
        <v>0</v>
      </c>
    </row>
    <row r="15" spans="1:15" ht="238" x14ac:dyDescent="0.25">
      <c r="A15" s="2" t="s">
        <v>43</v>
      </c>
      <c r="B15" s="2" t="s">
        <v>41</v>
      </c>
      <c r="C15" s="2" t="s">
        <v>44</v>
      </c>
      <c r="D15" s="2" t="s">
        <v>132</v>
      </c>
      <c r="E15" s="2">
        <v>1</v>
      </c>
      <c r="F15" s="2">
        <v>1</v>
      </c>
      <c r="G15" s="2">
        <v>1</v>
      </c>
      <c r="H15" s="2">
        <v>1</v>
      </c>
      <c r="I15" s="4">
        <v>1</v>
      </c>
      <c r="J15" s="2">
        <v>1</v>
      </c>
      <c r="K15" s="2" t="b">
        <v>0</v>
      </c>
      <c r="L15" s="2">
        <v>3</v>
      </c>
      <c r="M15" s="2">
        <v>0</v>
      </c>
      <c r="N15" s="2">
        <v>0</v>
      </c>
    </row>
    <row r="16" spans="1:15" ht="409.5" x14ac:dyDescent="0.25">
      <c r="A16" s="2" t="s">
        <v>45</v>
      </c>
      <c r="B16" s="2" t="s">
        <v>41</v>
      </c>
      <c r="C16" s="2" t="s">
        <v>46</v>
      </c>
      <c r="D16" s="2" t="s">
        <v>138</v>
      </c>
      <c r="E16" s="2">
        <v>1</v>
      </c>
      <c r="F16" s="2">
        <v>1</v>
      </c>
      <c r="G16" s="2">
        <v>1</v>
      </c>
      <c r="H16" s="2">
        <v>1</v>
      </c>
      <c r="I16" s="4">
        <v>0.5</v>
      </c>
      <c r="J16" s="2">
        <v>1</v>
      </c>
      <c r="K16" s="2" t="b">
        <v>0</v>
      </c>
      <c r="L16" s="2">
        <v>3</v>
      </c>
      <c r="M16" s="2">
        <v>0</v>
      </c>
      <c r="N16" s="2">
        <v>0</v>
      </c>
    </row>
    <row r="17" spans="1:14" ht="322" x14ac:dyDescent="0.25">
      <c r="A17" s="2" t="s">
        <v>47</v>
      </c>
      <c r="B17" s="2" t="s">
        <v>41</v>
      </c>
      <c r="C17" s="2" t="s">
        <v>48</v>
      </c>
      <c r="D17" s="2" t="s">
        <v>139</v>
      </c>
      <c r="E17" s="2">
        <v>1</v>
      </c>
      <c r="F17" s="2">
        <v>1</v>
      </c>
      <c r="G17" s="2">
        <v>1</v>
      </c>
      <c r="H17" s="2">
        <v>1</v>
      </c>
      <c r="I17" s="4">
        <v>1</v>
      </c>
      <c r="J17" s="2">
        <v>0.66700000000000004</v>
      </c>
      <c r="K17" s="2" t="b">
        <v>0</v>
      </c>
      <c r="L17" s="2">
        <v>1</v>
      </c>
      <c r="M17" s="2">
        <v>0</v>
      </c>
      <c r="N17" s="2">
        <v>1</v>
      </c>
    </row>
    <row r="18" spans="1:14" ht="409.5" x14ac:dyDescent="0.25">
      <c r="A18" s="2" t="s">
        <v>49</v>
      </c>
      <c r="B18" s="2" t="s">
        <v>41</v>
      </c>
      <c r="C18" s="2" t="s">
        <v>50</v>
      </c>
      <c r="D18" s="2" t="s">
        <v>140</v>
      </c>
      <c r="E18" s="2">
        <v>1</v>
      </c>
      <c r="F18" s="2">
        <v>1</v>
      </c>
      <c r="G18" s="2">
        <v>1</v>
      </c>
      <c r="H18" s="2">
        <v>1</v>
      </c>
      <c r="I18" s="4">
        <v>1</v>
      </c>
      <c r="J18" s="2">
        <v>1</v>
      </c>
      <c r="K18" s="2" t="b">
        <v>0</v>
      </c>
      <c r="L18" s="2">
        <v>4</v>
      </c>
      <c r="M18" s="2">
        <v>0</v>
      </c>
      <c r="N18" s="2">
        <v>0</v>
      </c>
    </row>
    <row r="19" spans="1:14" ht="409.5" x14ac:dyDescent="0.25">
      <c r="A19" s="2" t="s">
        <v>51</v>
      </c>
      <c r="B19" s="2" t="s">
        <v>41</v>
      </c>
      <c r="C19" s="2" t="s">
        <v>52</v>
      </c>
      <c r="D19" s="2" t="s">
        <v>141</v>
      </c>
      <c r="E19" s="2">
        <v>1</v>
      </c>
      <c r="F19" s="2">
        <v>1</v>
      </c>
      <c r="G19" s="2">
        <v>1</v>
      </c>
      <c r="H19" s="2">
        <v>1</v>
      </c>
      <c r="I19" s="4">
        <v>1</v>
      </c>
      <c r="J19" s="2">
        <v>1</v>
      </c>
      <c r="K19" s="2" t="b">
        <v>0</v>
      </c>
      <c r="L19" s="2">
        <v>3</v>
      </c>
      <c r="M19" s="2">
        <v>0</v>
      </c>
      <c r="N19" s="2">
        <v>0</v>
      </c>
    </row>
    <row r="20" spans="1:14" ht="224" x14ac:dyDescent="0.25">
      <c r="A20" s="2" t="s">
        <v>53</v>
      </c>
      <c r="B20" s="2" t="s">
        <v>41</v>
      </c>
      <c r="C20" s="2" t="s">
        <v>54</v>
      </c>
      <c r="D20" s="6" t="s">
        <v>142</v>
      </c>
      <c r="E20" s="2">
        <v>1</v>
      </c>
      <c r="F20" s="2">
        <v>1</v>
      </c>
      <c r="G20" s="2">
        <v>1</v>
      </c>
      <c r="H20" s="2">
        <v>1</v>
      </c>
      <c r="I20" s="4">
        <v>1</v>
      </c>
      <c r="J20" s="2">
        <v>1</v>
      </c>
      <c r="K20" s="2" t="b">
        <v>0</v>
      </c>
      <c r="L20" s="2">
        <v>2</v>
      </c>
      <c r="M20" s="2">
        <v>0</v>
      </c>
      <c r="N20" s="2">
        <v>0</v>
      </c>
    </row>
    <row r="21" spans="1:14" ht="409.5" x14ac:dyDescent="0.25">
      <c r="A21" s="2" t="s">
        <v>163</v>
      </c>
      <c r="B21" s="2" t="s">
        <v>41</v>
      </c>
      <c r="C21" s="2" t="s">
        <v>55</v>
      </c>
      <c r="D21" s="2" t="s">
        <v>143</v>
      </c>
      <c r="E21" s="2">
        <v>1</v>
      </c>
      <c r="F21" s="2">
        <v>1</v>
      </c>
      <c r="G21" s="2">
        <v>1</v>
      </c>
      <c r="H21" s="2">
        <v>1</v>
      </c>
      <c r="I21" s="4">
        <v>0.5</v>
      </c>
      <c r="J21" s="2">
        <v>0.66700000000000004</v>
      </c>
      <c r="K21" s="2" t="b">
        <v>0</v>
      </c>
      <c r="L21" s="2">
        <v>1</v>
      </c>
      <c r="M21" s="2">
        <v>0</v>
      </c>
      <c r="N21" s="2">
        <v>1</v>
      </c>
    </row>
    <row r="22" spans="1:14" ht="350" x14ac:dyDescent="0.25">
      <c r="A22" s="2" t="s">
        <v>56</v>
      </c>
      <c r="B22" s="2" t="s">
        <v>41</v>
      </c>
      <c r="C22" s="2" t="s">
        <v>57</v>
      </c>
      <c r="D22" s="2" t="s">
        <v>144</v>
      </c>
      <c r="E22" s="2">
        <v>1</v>
      </c>
      <c r="F22" s="2">
        <v>1</v>
      </c>
      <c r="G22" s="2">
        <v>1</v>
      </c>
      <c r="H22" s="2">
        <v>1</v>
      </c>
      <c r="I22" s="4">
        <v>1</v>
      </c>
      <c r="J22" s="2">
        <v>1</v>
      </c>
      <c r="K22" s="2" t="b">
        <v>0</v>
      </c>
      <c r="L22" s="2">
        <v>3</v>
      </c>
      <c r="M22" s="2">
        <v>0</v>
      </c>
      <c r="N22" s="2">
        <v>0</v>
      </c>
    </row>
    <row r="23" spans="1:14" ht="409.5" x14ac:dyDescent="0.25">
      <c r="A23" s="2" t="s">
        <v>58</v>
      </c>
      <c r="B23" s="2" t="s">
        <v>41</v>
      </c>
      <c r="C23" s="2" t="s">
        <v>59</v>
      </c>
      <c r="D23" s="2" t="s">
        <v>145</v>
      </c>
      <c r="E23" s="2">
        <v>1</v>
      </c>
      <c r="F23" s="2">
        <v>1</v>
      </c>
      <c r="G23" s="2">
        <v>1</v>
      </c>
      <c r="H23" s="2">
        <v>1</v>
      </c>
      <c r="I23" s="4">
        <v>0.33300000000000002</v>
      </c>
      <c r="J23" s="2">
        <v>1</v>
      </c>
      <c r="K23" s="2" t="b">
        <v>0</v>
      </c>
      <c r="L23" s="2">
        <v>2</v>
      </c>
      <c r="M23" s="2">
        <v>0</v>
      </c>
      <c r="N23" s="2">
        <v>0</v>
      </c>
    </row>
    <row r="24" spans="1:14" ht="210" x14ac:dyDescent="0.25">
      <c r="A24" s="2" t="s">
        <v>60</v>
      </c>
      <c r="B24" s="2" t="s">
        <v>41</v>
      </c>
      <c r="C24" s="2" t="s">
        <v>61</v>
      </c>
      <c r="D24" s="2" t="s">
        <v>147</v>
      </c>
      <c r="E24" s="2">
        <v>1</v>
      </c>
      <c r="F24" s="2">
        <v>1</v>
      </c>
      <c r="G24" s="2">
        <v>1</v>
      </c>
      <c r="H24" s="2">
        <v>1</v>
      </c>
      <c r="I24" s="4">
        <v>1</v>
      </c>
      <c r="J24" s="2">
        <v>0.66700000000000004</v>
      </c>
      <c r="K24" s="2" t="b">
        <v>0</v>
      </c>
      <c r="L24" s="2">
        <v>1</v>
      </c>
      <c r="M24" s="2">
        <v>0</v>
      </c>
      <c r="N24" s="2">
        <v>1</v>
      </c>
    </row>
    <row r="25" spans="1:14" ht="210" x14ac:dyDescent="0.25">
      <c r="A25" s="2" t="s">
        <v>62</v>
      </c>
      <c r="B25" s="2" t="s">
        <v>63</v>
      </c>
      <c r="C25" s="2" t="s">
        <v>64</v>
      </c>
      <c r="D25" s="2" t="s">
        <v>149</v>
      </c>
      <c r="E25" s="2">
        <v>1</v>
      </c>
      <c r="F25" s="2">
        <v>1</v>
      </c>
      <c r="G25" s="2">
        <v>1</v>
      </c>
      <c r="H25" s="2">
        <v>1</v>
      </c>
      <c r="I25" s="4">
        <v>1</v>
      </c>
      <c r="J25" s="2">
        <v>1</v>
      </c>
      <c r="K25" s="2" t="b">
        <v>0</v>
      </c>
      <c r="L25" s="2">
        <v>2</v>
      </c>
      <c r="M25" s="2">
        <v>0</v>
      </c>
      <c r="N25" s="2">
        <v>0</v>
      </c>
    </row>
    <row r="26" spans="1:14" ht="210" x14ac:dyDescent="0.25">
      <c r="A26" s="2" t="s">
        <v>65</v>
      </c>
      <c r="B26" s="2" t="s">
        <v>63</v>
      </c>
      <c r="C26" s="2" t="s">
        <v>66</v>
      </c>
      <c r="D26" s="2" t="s">
        <v>150</v>
      </c>
      <c r="E26" s="2">
        <v>1</v>
      </c>
      <c r="F26" s="2">
        <v>1</v>
      </c>
      <c r="G26" s="2">
        <v>1</v>
      </c>
      <c r="H26" s="2">
        <v>1</v>
      </c>
      <c r="I26" s="4">
        <v>1</v>
      </c>
      <c r="J26" s="2">
        <v>1</v>
      </c>
      <c r="K26" s="2" t="b">
        <v>0</v>
      </c>
      <c r="L26" s="2">
        <v>1</v>
      </c>
      <c r="M26" s="2">
        <v>0</v>
      </c>
      <c r="N26" s="2">
        <v>0</v>
      </c>
    </row>
    <row r="27" spans="1:14" ht="322" x14ac:dyDescent="0.25">
      <c r="A27" s="2" t="s">
        <v>67</v>
      </c>
      <c r="B27" s="2" t="s">
        <v>63</v>
      </c>
      <c r="C27" s="2" t="s">
        <v>68</v>
      </c>
      <c r="D27" s="2" t="s">
        <v>152</v>
      </c>
      <c r="E27" s="2">
        <v>1</v>
      </c>
      <c r="F27" s="2">
        <v>1</v>
      </c>
      <c r="G27" s="2">
        <v>1</v>
      </c>
      <c r="H27" s="2">
        <v>1</v>
      </c>
      <c r="I27" s="4">
        <v>1</v>
      </c>
      <c r="J27" s="2">
        <v>0.5</v>
      </c>
      <c r="K27" s="2" t="b">
        <v>0</v>
      </c>
      <c r="L27" s="2">
        <v>1</v>
      </c>
      <c r="M27" s="2">
        <v>2</v>
      </c>
      <c r="N27" s="2">
        <v>0</v>
      </c>
    </row>
    <row r="28" spans="1:14" ht="168" x14ac:dyDescent="0.25">
      <c r="A28" s="2" t="s">
        <v>69</v>
      </c>
      <c r="B28" s="2" t="s">
        <v>63</v>
      </c>
      <c r="C28" s="2" t="s">
        <v>70</v>
      </c>
      <c r="D28" s="2" t="s">
        <v>148</v>
      </c>
      <c r="E28" s="2">
        <v>1</v>
      </c>
      <c r="F28" s="2">
        <v>1</v>
      </c>
      <c r="G28" s="2">
        <v>1</v>
      </c>
      <c r="H28" s="2">
        <v>1</v>
      </c>
      <c r="I28" s="4">
        <v>1</v>
      </c>
      <c r="J28" s="2">
        <v>1</v>
      </c>
      <c r="K28" s="2" t="b">
        <v>0</v>
      </c>
      <c r="L28" s="2">
        <v>1</v>
      </c>
      <c r="M28" s="2">
        <v>0</v>
      </c>
      <c r="N28" s="2">
        <v>0</v>
      </c>
    </row>
    <row r="29" spans="1:14" ht="196" x14ac:dyDescent="0.25">
      <c r="A29" s="2" t="s">
        <v>71</v>
      </c>
      <c r="B29" s="2" t="s">
        <v>63</v>
      </c>
      <c r="C29" s="2" t="s">
        <v>72</v>
      </c>
      <c r="D29" s="2" t="s">
        <v>153</v>
      </c>
      <c r="E29" s="2">
        <v>1</v>
      </c>
      <c r="F29" s="2">
        <v>1</v>
      </c>
      <c r="G29" s="2">
        <v>1</v>
      </c>
      <c r="H29" s="2">
        <v>1</v>
      </c>
      <c r="I29" s="4">
        <v>1</v>
      </c>
      <c r="J29" s="2">
        <v>1</v>
      </c>
      <c r="K29" s="2" t="b">
        <v>0</v>
      </c>
      <c r="L29" s="2">
        <v>1</v>
      </c>
      <c r="M29" s="2">
        <v>0</v>
      </c>
      <c r="N29" s="2">
        <v>0</v>
      </c>
    </row>
    <row r="30" spans="1:14" ht="224" x14ac:dyDescent="0.25">
      <c r="A30" s="2" t="s">
        <v>73</v>
      </c>
      <c r="B30" s="2" t="s">
        <v>63</v>
      </c>
      <c r="C30" s="2" t="s">
        <v>74</v>
      </c>
      <c r="D30" s="2" t="s">
        <v>154</v>
      </c>
      <c r="E30" s="2">
        <v>1</v>
      </c>
      <c r="F30" s="2">
        <v>1</v>
      </c>
      <c r="G30" s="2">
        <v>1</v>
      </c>
      <c r="H30" s="2">
        <v>1</v>
      </c>
      <c r="I30" s="4">
        <v>1</v>
      </c>
      <c r="J30" s="2">
        <v>1</v>
      </c>
      <c r="K30" s="2" t="b">
        <v>0</v>
      </c>
      <c r="L30" s="2">
        <v>3</v>
      </c>
      <c r="M30" s="2">
        <v>0</v>
      </c>
      <c r="N30" s="2">
        <v>0</v>
      </c>
    </row>
    <row r="31" spans="1:14" ht="280" x14ac:dyDescent="0.25">
      <c r="A31" s="2" t="s">
        <v>75</v>
      </c>
      <c r="B31" s="2" t="s">
        <v>63</v>
      </c>
      <c r="C31" s="2" t="s">
        <v>76</v>
      </c>
      <c r="D31" s="2" t="s">
        <v>127</v>
      </c>
      <c r="E31" s="2">
        <v>1</v>
      </c>
      <c r="F31" s="2">
        <v>1</v>
      </c>
      <c r="G31" s="2">
        <v>1</v>
      </c>
      <c r="H31" s="2">
        <v>1</v>
      </c>
      <c r="I31" s="4">
        <v>1</v>
      </c>
      <c r="J31" s="2">
        <v>1</v>
      </c>
      <c r="K31" s="2" t="b">
        <v>0</v>
      </c>
      <c r="L31" s="2">
        <v>3</v>
      </c>
      <c r="M31" s="2">
        <v>0</v>
      </c>
      <c r="N31" s="2">
        <v>0</v>
      </c>
    </row>
    <row r="32" spans="1:14" ht="210" x14ac:dyDescent="0.25">
      <c r="A32" s="2" t="s">
        <v>77</v>
      </c>
      <c r="B32" s="2" t="s">
        <v>63</v>
      </c>
      <c r="C32" s="2" t="s">
        <v>78</v>
      </c>
      <c r="D32" s="2" t="s">
        <v>128</v>
      </c>
      <c r="E32" s="2">
        <v>1</v>
      </c>
      <c r="F32" s="2">
        <v>1</v>
      </c>
      <c r="G32" s="2">
        <v>1</v>
      </c>
      <c r="H32" s="2">
        <v>1</v>
      </c>
      <c r="I32" s="4">
        <v>1</v>
      </c>
      <c r="J32" s="2">
        <v>0.66700000000000004</v>
      </c>
      <c r="K32" s="2" t="b">
        <v>0</v>
      </c>
      <c r="L32" s="2">
        <v>1</v>
      </c>
      <c r="M32" s="2">
        <v>0</v>
      </c>
      <c r="N32" s="2">
        <v>1</v>
      </c>
    </row>
    <row r="33" spans="1:15" ht="409.5" x14ac:dyDescent="0.25">
      <c r="A33" s="2" t="s">
        <v>79</v>
      </c>
      <c r="B33" s="2" t="s">
        <v>63</v>
      </c>
      <c r="C33" s="2" t="s">
        <v>80</v>
      </c>
      <c r="D33" s="2" t="s">
        <v>156</v>
      </c>
      <c r="E33" s="2">
        <v>1</v>
      </c>
      <c r="F33" s="2">
        <v>1</v>
      </c>
      <c r="G33" s="2">
        <v>1</v>
      </c>
      <c r="H33" s="2">
        <v>1</v>
      </c>
      <c r="I33" s="4">
        <v>1</v>
      </c>
      <c r="J33" s="2">
        <v>0.85699999999999998</v>
      </c>
      <c r="K33" s="2" t="b">
        <v>0</v>
      </c>
      <c r="L33" s="2">
        <v>3</v>
      </c>
      <c r="M33" s="2">
        <v>0</v>
      </c>
      <c r="N33" s="2">
        <v>1</v>
      </c>
    </row>
    <row r="34" spans="1:15" ht="409.5" x14ac:dyDescent="0.25">
      <c r="A34" s="2" t="s">
        <v>81</v>
      </c>
      <c r="B34" s="2" t="s">
        <v>63</v>
      </c>
      <c r="C34" s="2" t="s">
        <v>82</v>
      </c>
      <c r="D34" s="2" t="s">
        <v>157</v>
      </c>
      <c r="E34" s="2">
        <v>1</v>
      </c>
      <c r="F34" s="2">
        <v>1</v>
      </c>
      <c r="G34" s="2">
        <v>1</v>
      </c>
      <c r="H34" s="2">
        <v>1</v>
      </c>
      <c r="I34" s="4">
        <v>0.5</v>
      </c>
      <c r="J34" s="2">
        <v>1</v>
      </c>
      <c r="K34" s="2" t="b">
        <v>0</v>
      </c>
      <c r="L34" s="2">
        <v>3</v>
      </c>
      <c r="M34" s="2">
        <v>0</v>
      </c>
      <c r="N34" s="2">
        <v>0</v>
      </c>
    </row>
    <row r="35" spans="1:15" ht="154" x14ac:dyDescent="0.25">
      <c r="A35" s="2" t="s">
        <v>83</v>
      </c>
      <c r="B35" s="2" t="s">
        <v>63</v>
      </c>
      <c r="C35" s="2" t="s">
        <v>84</v>
      </c>
      <c r="D35" s="2" t="s">
        <v>158</v>
      </c>
      <c r="E35" s="2">
        <v>1</v>
      </c>
      <c r="F35" s="2">
        <v>1</v>
      </c>
      <c r="G35" s="2">
        <v>1</v>
      </c>
      <c r="H35" s="2">
        <v>1</v>
      </c>
      <c r="I35" s="4">
        <v>1</v>
      </c>
      <c r="J35" s="2">
        <v>0.66700000000000004</v>
      </c>
      <c r="K35" s="2" t="b">
        <v>0</v>
      </c>
      <c r="L35" s="2">
        <v>1</v>
      </c>
      <c r="M35" s="2">
        <v>0</v>
      </c>
      <c r="N35" s="2">
        <v>1</v>
      </c>
    </row>
    <row r="36" spans="1:15" ht="409.5" x14ac:dyDescent="0.25">
      <c r="A36" s="2" t="s">
        <v>85</v>
      </c>
      <c r="B36" s="2" t="s">
        <v>86</v>
      </c>
      <c r="C36" s="2" t="s">
        <v>87</v>
      </c>
      <c r="D36" s="2" t="s">
        <v>151</v>
      </c>
      <c r="E36" s="2">
        <v>1</v>
      </c>
      <c r="F36" s="2">
        <v>1</v>
      </c>
      <c r="G36" s="2">
        <v>1</v>
      </c>
      <c r="H36" s="2">
        <v>1</v>
      </c>
      <c r="I36" s="4">
        <v>1</v>
      </c>
      <c r="J36" s="2">
        <v>1</v>
      </c>
      <c r="K36" s="2" t="b">
        <v>0</v>
      </c>
      <c r="L36" s="2">
        <v>2</v>
      </c>
      <c r="M36" s="2">
        <v>0</v>
      </c>
      <c r="N36" s="2">
        <v>0</v>
      </c>
    </row>
    <row r="37" spans="1:15" ht="409.5" x14ac:dyDescent="0.25">
      <c r="A37" s="2" t="s">
        <v>88</v>
      </c>
      <c r="B37" s="2" t="s">
        <v>86</v>
      </c>
      <c r="C37" s="2" t="s">
        <v>89</v>
      </c>
      <c r="D37" s="2" t="s">
        <v>159</v>
      </c>
      <c r="E37" s="2">
        <v>1</v>
      </c>
      <c r="F37" s="2">
        <v>1</v>
      </c>
      <c r="G37" s="2">
        <v>1</v>
      </c>
      <c r="H37" s="2">
        <v>1</v>
      </c>
      <c r="I37" s="4">
        <v>0.75</v>
      </c>
      <c r="J37" s="2">
        <v>1</v>
      </c>
      <c r="K37" s="2" t="b">
        <v>0</v>
      </c>
      <c r="L37" s="2">
        <v>2</v>
      </c>
      <c r="M37" s="2">
        <v>0</v>
      </c>
      <c r="N37" s="2">
        <v>0</v>
      </c>
    </row>
    <row r="38" spans="1:15" ht="409.5" x14ac:dyDescent="0.25">
      <c r="A38" s="2" t="s">
        <v>90</v>
      </c>
      <c r="B38" s="2" t="s">
        <v>86</v>
      </c>
      <c r="C38" s="2" t="s">
        <v>91</v>
      </c>
      <c r="D38" s="2" t="s">
        <v>160</v>
      </c>
      <c r="E38" s="2">
        <v>1</v>
      </c>
      <c r="F38" s="2">
        <v>1</v>
      </c>
      <c r="G38" s="2">
        <v>1</v>
      </c>
      <c r="H38" s="2">
        <v>1</v>
      </c>
      <c r="I38" s="4">
        <v>0.66700000000000004</v>
      </c>
      <c r="J38" s="2">
        <v>0.85699999999999998</v>
      </c>
      <c r="K38" s="2" t="b">
        <v>0</v>
      </c>
      <c r="L38" s="2">
        <v>3</v>
      </c>
      <c r="M38" s="2">
        <v>0</v>
      </c>
      <c r="N38" s="2">
        <v>1</v>
      </c>
    </row>
    <row r="39" spans="1:15" s="5" customFormat="1" ht="126" x14ac:dyDescent="0.25">
      <c r="A39" s="5" t="s">
        <v>92</v>
      </c>
      <c r="B39" s="5" t="s">
        <v>86</v>
      </c>
      <c r="C39" s="5" t="s">
        <v>93</v>
      </c>
      <c r="D39" s="5" t="s">
        <v>94</v>
      </c>
      <c r="E39" s="5">
        <v>1</v>
      </c>
      <c r="F39" s="5">
        <v>1</v>
      </c>
      <c r="G39" s="5">
        <v>1</v>
      </c>
      <c r="H39" s="5">
        <v>1</v>
      </c>
      <c r="I39" s="5">
        <v>0</v>
      </c>
      <c r="J39" s="5">
        <v>0</v>
      </c>
      <c r="K39" s="5" t="b">
        <v>0</v>
      </c>
      <c r="L39" s="5">
        <v>0</v>
      </c>
      <c r="M39" s="5">
        <v>0</v>
      </c>
      <c r="N39" s="5">
        <v>2</v>
      </c>
    </row>
    <row r="40" spans="1:15" ht="409.5" x14ac:dyDescent="0.25">
      <c r="A40" s="2" t="s">
        <v>95</v>
      </c>
      <c r="B40" s="2" t="s">
        <v>86</v>
      </c>
      <c r="C40" s="2" t="s">
        <v>96</v>
      </c>
      <c r="D40" s="2" t="s">
        <v>155</v>
      </c>
      <c r="E40" s="2">
        <v>1</v>
      </c>
      <c r="F40" s="2">
        <v>1</v>
      </c>
      <c r="G40" s="2">
        <v>1</v>
      </c>
      <c r="H40" s="2">
        <v>1</v>
      </c>
      <c r="I40" s="4">
        <v>1</v>
      </c>
      <c r="J40" s="2">
        <v>0.57099999999999995</v>
      </c>
      <c r="K40" s="2" t="b">
        <v>0</v>
      </c>
      <c r="L40" s="2">
        <v>2</v>
      </c>
      <c r="M40" s="2">
        <v>1</v>
      </c>
      <c r="N40" s="2">
        <v>2</v>
      </c>
    </row>
    <row r="41" spans="1:15" ht="409.5" x14ac:dyDescent="0.25">
      <c r="A41" s="2" t="s">
        <v>97</v>
      </c>
      <c r="B41" s="2" t="s">
        <v>86</v>
      </c>
      <c r="C41" s="2" t="s">
        <v>98</v>
      </c>
      <c r="D41" s="2" t="s">
        <v>161</v>
      </c>
      <c r="E41" s="2">
        <v>1</v>
      </c>
      <c r="F41" s="2">
        <v>1</v>
      </c>
      <c r="G41" s="2">
        <v>1</v>
      </c>
      <c r="H41" s="2">
        <v>1</v>
      </c>
      <c r="I41" s="4">
        <v>1</v>
      </c>
      <c r="J41" s="2">
        <v>0.8</v>
      </c>
      <c r="K41" s="2" t="b">
        <v>0</v>
      </c>
      <c r="L41" s="2">
        <v>2</v>
      </c>
      <c r="M41" s="2">
        <v>0</v>
      </c>
      <c r="N41" s="2">
        <v>1</v>
      </c>
    </row>
    <row r="42" spans="1:15" ht="409.5" x14ac:dyDescent="0.25">
      <c r="A42" s="2" t="s">
        <v>99</v>
      </c>
      <c r="B42" s="2" t="s">
        <v>86</v>
      </c>
      <c r="C42" s="2" t="s">
        <v>100</v>
      </c>
      <c r="D42" s="2" t="s">
        <v>162</v>
      </c>
      <c r="E42" s="2">
        <v>0</v>
      </c>
      <c r="F42" s="2">
        <v>0</v>
      </c>
      <c r="G42" s="2">
        <v>1</v>
      </c>
      <c r="H42" s="2">
        <v>0.2</v>
      </c>
      <c r="I42" s="4">
        <v>0.5</v>
      </c>
      <c r="J42" s="2">
        <v>0.8</v>
      </c>
      <c r="K42" s="2" t="b">
        <v>0</v>
      </c>
      <c r="L42" s="2">
        <v>4</v>
      </c>
      <c r="M42" s="2">
        <v>0</v>
      </c>
      <c r="N42" s="2">
        <v>2</v>
      </c>
    </row>
    <row r="43" spans="1:15" ht="409.5" x14ac:dyDescent="0.25">
      <c r="A43" s="2" t="s">
        <v>101</v>
      </c>
      <c r="B43" s="2" t="s">
        <v>86</v>
      </c>
      <c r="C43" s="2" t="s">
        <v>102</v>
      </c>
      <c r="D43" s="2" t="s">
        <v>146</v>
      </c>
      <c r="E43" s="2">
        <v>1</v>
      </c>
      <c r="F43" s="2">
        <v>1</v>
      </c>
      <c r="G43" s="2">
        <v>1</v>
      </c>
      <c r="H43" s="2">
        <v>1</v>
      </c>
      <c r="I43" s="4">
        <v>0.5</v>
      </c>
      <c r="J43" s="2">
        <v>0.8</v>
      </c>
      <c r="K43" s="2" t="b">
        <v>0</v>
      </c>
      <c r="L43" s="2">
        <v>2</v>
      </c>
      <c r="M43" s="2">
        <v>0</v>
      </c>
      <c r="N43" s="2">
        <v>1</v>
      </c>
    </row>
    <row r="44" spans="1:15" ht="42" x14ac:dyDescent="0.25">
      <c r="A44" s="2" t="s">
        <v>103</v>
      </c>
      <c r="B44" s="2" t="s">
        <v>104</v>
      </c>
      <c r="C44" s="2" t="s">
        <v>105</v>
      </c>
      <c r="D44" s="2" t="s">
        <v>94</v>
      </c>
      <c r="J44" s="2">
        <v>1</v>
      </c>
      <c r="K44" s="2" t="b">
        <v>1</v>
      </c>
      <c r="L44" s="2">
        <v>1</v>
      </c>
      <c r="M44" s="2">
        <v>0</v>
      </c>
      <c r="N44" s="2">
        <v>0</v>
      </c>
      <c r="O44" s="2" t="b">
        <v>1</v>
      </c>
    </row>
    <row r="45" spans="1:15" ht="210" x14ac:dyDescent="0.25">
      <c r="A45" s="2" t="s">
        <v>106</v>
      </c>
      <c r="B45" s="2" t="s">
        <v>104</v>
      </c>
      <c r="C45" s="2" t="s">
        <v>105</v>
      </c>
      <c r="D45" s="2" t="s">
        <v>137</v>
      </c>
      <c r="J45" s="2">
        <v>1</v>
      </c>
      <c r="K45" s="2" t="b">
        <v>1</v>
      </c>
      <c r="L45" s="2">
        <v>1</v>
      </c>
      <c r="M45" s="2">
        <v>0</v>
      </c>
      <c r="N45" s="2">
        <v>0</v>
      </c>
      <c r="O45" s="2" t="b">
        <v>1</v>
      </c>
    </row>
    <row r="46" spans="1:15" ht="98" x14ac:dyDescent="0.25">
      <c r="A46" s="2" t="s">
        <v>107</v>
      </c>
      <c r="B46" s="2" t="s">
        <v>104</v>
      </c>
      <c r="C46" s="2" t="s">
        <v>105</v>
      </c>
      <c r="D46" s="2" t="s">
        <v>108</v>
      </c>
      <c r="J46" s="2">
        <v>1</v>
      </c>
      <c r="K46" s="2" t="b">
        <v>1</v>
      </c>
      <c r="L46" s="2">
        <v>1</v>
      </c>
      <c r="M46" s="2">
        <v>0</v>
      </c>
      <c r="N46" s="2">
        <v>0</v>
      </c>
      <c r="O46" s="2" t="b">
        <v>1</v>
      </c>
    </row>
    <row r="47" spans="1:15" ht="70" x14ac:dyDescent="0.25">
      <c r="A47" s="2" t="s">
        <v>109</v>
      </c>
      <c r="B47" s="2" t="s">
        <v>104</v>
      </c>
      <c r="C47" s="2" t="s">
        <v>105</v>
      </c>
      <c r="D47" s="2" t="s">
        <v>94</v>
      </c>
      <c r="J47" s="2">
        <v>1</v>
      </c>
      <c r="K47" s="2" t="b">
        <v>1</v>
      </c>
      <c r="L47" s="2">
        <v>1</v>
      </c>
      <c r="M47" s="2">
        <v>0</v>
      </c>
      <c r="N47" s="2">
        <v>0</v>
      </c>
      <c r="O47" s="2" t="b">
        <v>1</v>
      </c>
    </row>
    <row r="48" spans="1:15" ht="42" x14ac:dyDescent="0.25">
      <c r="A48" s="2" t="s">
        <v>110</v>
      </c>
      <c r="B48" s="2" t="s">
        <v>104</v>
      </c>
      <c r="C48" s="2" t="s">
        <v>105</v>
      </c>
      <c r="D48" s="2" t="s">
        <v>94</v>
      </c>
      <c r="J48" s="2">
        <v>1</v>
      </c>
      <c r="K48" s="2" t="b">
        <v>1</v>
      </c>
      <c r="L48" s="2">
        <v>1</v>
      </c>
      <c r="M48" s="2">
        <v>0</v>
      </c>
      <c r="N48" s="2">
        <v>0</v>
      </c>
      <c r="O48" s="2" t="b">
        <v>1</v>
      </c>
    </row>
    <row r="49" spans="1:15" ht="42" x14ac:dyDescent="0.25">
      <c r="A49" s="2" t="s">
        <v>111</v>
      </c>
      <c r="B49" s="2" t="s">
        <v>104</v>
      </c>
      <c r="C49" s="2" t="s">
        <v>105</v>
      </c>
      <c r="D49" s="2" t="s">
        <v>94</v>
      </c>
      <c r="J49" s="2">
        <v>1</v>
      </c>
      <c r="K49" s="2" t="b">
        <v>1</v>
      </c>
      <c r="L49" s="2">
        <v>1</v>
      </c>
      <c r="M49" s="2">
        <v>0</v>
      </c>
      <c r="N49" s="2">
        <v>0</v>
      </c>
      <c r="O49" s="2" t="b">
        <v>1</v>
      </c>
    </row>
    <row r="50" spans="1:15" ht="224" x14ac:dyDescent="0.25">
      <c r="A50" s="2" t="s">
        <v>112</v>
      </c>
      <c r="B50" s="2" t="s">
        <v>104</v>
      </c>
      <c r="C50" s="2" t="s">
        <v>105</v>
      </c>
      <c r="D50" s="2" t="s">
        <v>129</v>
      </c>
      <c r="J50" s="2">
        <v>1</v>
      </c>
      <c r="K50" s="2" t="b">
        <v>1</v>
      </c>
      <c r="L50" s="2">
        <v>1</v>
      </c>
      <c r="M50" s="2">
        <v>0</v>
      </c>
      <c r="N50" s="2">
        <v>0</v>
      </c>
      <c r="O50" s="2" t="b">
        <v>1</v>
      </c>
    </row>
    <row r="51" spans="1:15" ht="42" x14ac:dyDescent="0.25">
      <c r="A51" s="2" t="s">
        <v>113</v>
      </c>
      <c r="B51" s="2" t="s">
        <v>104</v>
      </c>
      <c r="C51" s="2" t="s">
        <v>105</v>
      </c>
      <c r="D51" s="2" t="s">
        <v>94</v>
      </c>
      <c r="J51" s="2">
        <v>1</v>
      </c>
      <c r="K51" s="2" t="b">
        <v>1</v>
      </c>
      <c r="L51" s="2">
        <v>1</v>
      </c>
      <c r="M51" s="2">
        <v>0</v>
      </c>
      <c r="N51" s="2">
        <v>0</v>
      </c>
      <c r="O51" s="2" t="b">
        <v>1</v>
      </c>
    </row>
    <row r="53" spans="1:15" x14ac:dyDescent="0.25">
      <c r="A53" s="2" t="s">
        <v>114</v>
      </c>
      <c r="E53" s="2">
        <f>AVERAGEIFS(E2:E51,K2:K51,FALSE)</f>
        <v>0.95238095238095233</v>
      </c>
      <c r="F53" s="2">
        <f>AVERAGEIFS(F2:F51,K2:K51,FALSE)</f>
        <v>0.95238095238095233</v>
      </c>
      <c r="G53" s="2">
        <f>AVERAGEIFS(G2:G51,K2:K51,FALSE)</f>
        <v>0.97619047619047616</v>
      </c>
      <c r="H53" s="2">
        <f>AVERAGEIFS(H2:H51,K2:K51,FALSE)</f>
        <v>0.95714285714285718</v>
      </c>
      <c r="I53" s="4">
        <f>AVERAGEIFS(I2:I51,K2:K51,FALSE)</f>
        <v>0.875</v>
      </c>
      <c r="J53" s="2">
        <f>AVERAGE(J2:J51)</f>
        <v>0.8995399999999999</v>
      </c>
      <c r="L53" s="2">
        <f>AVERAGE(L2:L51)</f>
        <v>1.94</v>
      </c>
      <c r="M53" s="2">
        <f>AVERAGE(M2:M51)</f>
        <v>0.06</v>
      </c>
      <c r="N53" s="2">
        <f>AVERAGE(N2:N51)</f>
        <v>0.36</v>
      </c>
    </row>
    <row r="54" spans="1:15" x14ac:dyDescent="0.25">
      <c r="A54" s="2" t="s">
        <v>115</v>
      </c>
      <c r="B54" s="2" t="s">
        <v>16</v>
      </c>
      <c r="E54" s="2">
        <f>AVERAGEIFS(E2:E51,B2:B51,"定义类",K2:K51,FALSE)</f>
        <v>0.91666666666666663</v>
      </c>
      <c r="F54" s="2">
        <f>AVERAGEIFS(F2:F51,B2:B51,"定义类",K2:K51,FALSE)</f>
        <v>0.91666666666666663</v>
      </c>
      <c r="G54" s="2">
        <f>AVERAGEIFS(G2:G51,B2:B51,"定义类",K2:K51,FALSE)</f>
        <v>0.91666666666666663</v>
      </c>
      <c r="H54" s="2">
        <f>AVERAGEIFS(H2:H51,B2:B51,"定义类",K2:K51,FALSE)</f>
        <v>0.91666666666666663</v>
      </c>
      <c r="I54" s="4">
        <f>AVERAGEIFS(I2:I51,B2:B51,"定义类",K2:K51,FALSE)</f>
        <v>1</v>
      </c>
      <c r="J54" s="2">
        <f>AVERAGEIF(B2:B51,"定义类",J2:J51)</f>
        <v>0.9547500000000001</v>
      </c>
      <c r="L54" s="2">
        <f>AVERAGEIF(B2:B51,"定义类",L2:L51)</f>
        <v>2.3333333333333335</v>
      </c>
      <c r="M54" s="2">
        <f>AVERAGEIF(B2:B51,"定义类",M2:M51)</f>
        <v>0</v>
      </c>
      <c r="N54" s="2">
        <f>AVERAGEIF(B2:B51,"定义类",N2:N51)</f>
        <v>0.25</v>
      </c>
    </row>
    <row r="55" spans="1:15" ht="28" x14ac:dyDescent="0.25">
      <c r="A55" s="2" t="s">
        <v>116</v>
      </c>
      <c r="B55" s="2" t="s">
        <v>41</v>
      </c>
      <c r="E55" s="2">
        <f>AVERAGEIFS(E2:E51,B2:B51,"方法细节类",K2:K51,FALSE)</f>
        <v>1</v>
      </c>
      <c r="F55" s="2">
        <f>AVERAGEIFS(F2:F51,B2:B51,"方法细节类",K2:K51,FALSE)</f>
        <v>1</v>
      </c>
      <c r="G55" s="2">
        <f>AVERAGEIFS(G2:G51,B2:B51,"方法细节类",K2:K51,FALSE)</f>
        <v>1</v>
      </c>
      <c r="H55" s="2">
        <f>AVERAGEIFS(H2:H51,B2:B51,"方法细节类",K2:K51,FALSE)</f>
        <v>1</v>
      </c>
      <c r="I55" s="4">
        <f>AVERAGEIFS(I2:I51,B2:B51,"方法细节类",K2:K51,FALSE)</f>
        <v>0.80300000000000005</v>
      </c>
      <c r="J55" s="2">
        <f>AVERAGEIF(B2:B51,"方法细节类",J2:J51)</f>
        <v>0.90918181818181809</v>
      </c>
      <c r="L55" s="2">
        <f>AVERAGEIF(B2:B51,"方法细节类",L2:L51)</f>
        <v>2.1818181818181817</v>
      </c>
      <c r="M55" s="2">
        <f>AVERAGEIF(B2:B51,"方法细节类",M2:M51)</f>
        <v>0</v>
      </c>
      <c r="N55" s="2">
        <f>AVERAGEIF(B2:B51,"方法细节类",N2:N51)</f>
        <v>0.27272727272727271</v>
      </c>
    </row>
    <row r="56" spans="1:15" ht="28" x14ac:dyDescent="0.25">
      <c r="A56" s="2" t="s">
        <v>117</v>
      </c>
      <c r="B56" s="2" t="s">
        <v>63</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0.95454545454545459</v>
      </c>
      <c r="J56" s="2">
        <f>AVERAGEIF(B2:B51,"实验结果类",J2:J51)</f>
        <v>0.88099999999999989</v>
      </c>
      <c r="L56" s="2">
        <f>AVERAGEIF(B2:B51,"实验结果类",L2:L51)</f>
        <v>1.8181818181818181</v>
      </c>
      <c r="M56" s="2">
        <f>AVERAGEIF(B2:B51,"实验结果类",M2:M51)</f>
        <v>0.18181818181818182</v>
      </c>
      <c r="N56" s="2">
        <f>AVERAGEIF(B2:B51,"实验结果类",N2:N51)</f>
        <v>0.27272727272727271</v>
      </c>
    </row>
    <row r="57" spans="1:15" ht="28" x14ac:dyDescent="0.25">
      <c r="A57" s="2" t="s">
        <v>118</v>
      </c>
      <c r="B57" s="2" t="s">
        <v>86</v>
      </c>
      <c r="E57" s="2">
        <f>AVERAGEIFS(E2:E51,B2:B51,"跨论文比较类",K2:K51,FALSE)</f>
        <v>0.875</v>
      </c>
      <c r="F57" s="2">
        <f>AVERAGEIFS(F2:F51,B2:B51,"跨论文比较类",K2:K51,FALSE)</f>
        <v>0.875</v>
      </c>
      <c r="G57" s="2">
        <f>AVERAGEIFS(G2:G51,B2:B51,"跨论文比较类",K2:K51,FALSE)</f>
        <v>1</v>
      </c>
      <c r="H57" s="2">
        <f>AVERAGEIFS(H2:H51,B2:B51,"跨论文比较类",K2:K51,FALSE)</f>
        <v>0.9</v>
      </c>
      <c r="I57" s="4">
        <f>AVERAGEIFS(I2:I51,B2:B51,"跨论文比较类",K2:K51,FALSE)</f>
        <v>0.67712499999999998</v>
      </c>
      <c r="J57" s="2">
        <f>AVERAGEIF(B2:B51,"跨论文比较类",J2:J51)</f>
        <v>0.72849999999999993</v>
      </c>
      <c r="L57" s="2">
        <f>AVERAGEIF(B2:B51,"跨论文比较类",L2:L51)</f>
        <v>2.125</v>
      </c>
      <c r="M57" s="2">
        <f>AVERAGEIF(B2:B51,"跨论文比较类",M2:M51)</f>
        <v>0.125</v>
      </c>
      <c r="N57" s="2">
        <f>AVERAGEIF(B2:B51,"跨论文比较类",N2:N51)</f>
        <v>1.125</v>
      </c>
    </row>
    <row r="58" spans="1:15" ht="28" x14ac:dyDescent="0.25">
      <c r="A58" s="2" t="s">
        <v>119</v>
      </c>
      <c r="B58" s="2" t="s">
        <v>104</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2026-06-03T11:22:41Z</dcterms:created>
  <dcterms:modified xsi:type="dcterms:W3CDTF">2026-06-10T13:29:43Z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a600f620-3a1a-4779-a0fa-4ea0e5769f6e</vt:lpwstr>
  </property>
</Properties>
</file>