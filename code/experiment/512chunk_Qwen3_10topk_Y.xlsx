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7F9EC204-3AEE-4091-8CB8-BB4BC6265858}"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<sst xmlns="http://schemas.openxmlformats.org/spreadsheetml/2006/main" count="226" uniqueCount="164">
  <si>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</si>
  <si>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</si>
  <si>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</si>
  <si>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</si>
  <si>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</si>
  <si>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</si>
  <si>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</si>
  <si>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</si>
  <si>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</si>
  <si>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</si>
  <si>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</si>
  <si>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</si>
  <si>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</si>
  <si>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</si>
  <si>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</si>
  <si>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</si>
  <si>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</si>
  <si>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</si>
  <si>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 SFT）、强化学习（Reinforcement Learning, RL）和测试时计算（Test-time Compute, TTC）。
来自: [2025.acl-long.140_A Survey of Post-Training Scaling in Large Language Models, 第2页, 2025.acl-long.140_A Survey of Post-Training Scaling in Large Language Models_chunk_004]</t>
  </si>
  <si>
    <t>在SafeRAG中"silver noise"的定义是什么？</t>
  </si>
  <si>
    <t>首先，我们定义了“银色噪声”，它指的是仅部分包含答案的证据文本。此类噪声能够绕过大多数安全过滤机制，从而削弱 RAG 的多样性。</t>
  </si>
  <si>
    <t>Silver noise是一种包含部分但不完整答案的噪声。
来自: [2025.acl-long.230_SafeRAG, 第4页, 2025.acl-long.230_SafeRAG_chunk_009]</t>
  </si>
  <si>
    <t>RAG噪声被分为哪两类？</t>
  </si>
  <si>
    <t>RAG噪声被分为有益噪声和有害噪声。</t>
  </si>
  <si>
    <t>RAG噪声被分为有益噪声和有害噪声两类。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</si>
  <si>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</si>
  <si>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</si>
  <si>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Ref-Long是一个评估长上下文语言模型（LCLMs）长上下文引用能力的基准，要求模型识别引用特定键的文档索引，强调键与文档之间的上下文关系而非简单检索。
来自: [2025.acl-long.1162_Ref-Long, 第1页, 2025.acl-long.1162_Ref-Long_chunk_000] [2025.acl-long.1162_Ref-Long, 第2页, 2025.acl-long.1162_Ref-Long_chunk_002]</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</si>
  <si>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</si>
  <si>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</si>
  <si>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SYNQA是一种生成式方法，通过给定选定的上下文句子，让大型语言模型生成完全由这些句子支持的问题-答案对。
来自: [2025.acl-long.828_On Synthesizing Data for Context Attribution in Question Answering, 第2页, 2025.acl-long.828_On Synthesizing Data for Context Attribution in Question Answering_chunk_004]</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</si>
  <si>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</si>
  <si>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</si>
  <si>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AgenticLU是一个旨在通过集成有针对性的自我澄清与上下文接地，在代理工作流中增强大语言模型对长上下文查询理解的框架。
来自: [2025.acl-long.275_Self-Taught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</si>
  <si>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</si>
  <si>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</si>
  <si>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Reasoning是一个通过集成外部基于LLM的代理工具（如网页搜索、编程和思维导图）来增强LLM推理的框架。
来自: [2025.acl-long.1383_Agentic Reasoning, 第2页, 2025.acl-long.1383_Agentic Reasoning_chunk_004]</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</si>
  <si>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</si>
  <si>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</si>
  <si>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多模态文档，(ii) 增强难度，(iii) 真实RAG查询，以及 (iv) 准确标注。
来自: [2025.acl-long.1528_REAL-MM-RAG, 第1页, 2025.acl-long.1528_REAL-MM-RAG_chunk_001]</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</si>
  <si>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</si>
  <si>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</si>
  <si>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对不完美的检索增强具有弹性，同时在检索可靠时保持RAG的接地效果。它通过区分LLM内部知识与外部检索信息中的一致和冲突内容，评估可靠性并整合可信信息，从而提升RAG系统在检索质量不佳或存在知识冲突时的鲁棒性和准确性，甚至在所有检索段落都无帮助的最坏情况下，性能可接近或超过无检索的LLM。
来自: [2025.acl-long.1476_Astute RAG, 第2页, 2025.acl-long.1476_Astute RAG_chunk_004]</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</si>
  <si>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</si>
  <si>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</si>
  <si>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 是一个开箱即用的评估套件，要求长上下文模型生成陈述及其支持引用，并包含一个多任务长上下文基准和相应的自动评估指标与验证管道。
来自: [2025.acl-long.263_L-CiteEval, 第1页, 2025.acl-long.263_L-CiteEval_chunk_002]</t>
  </si>
  <si>
    <t xml:space="preserve"> LongBench v2基准测试包含多少个问题？上下文长度范围是多少？</t>
  </si>
  <si>
    <t>LongBench v2包含503个具有挑战性的多项选择题，上下文长度范围从8,000到200万个单词。</t>
  </si>
  <si>
    <t>LongBench v2基准测试包含503个多项选择题，上下文长度范围从8k到2M词。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</si>
  <si>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</si>
  <si>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</si>
  <si>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RHIO框架的三个主要组成部分是：不忠实数据增强（unfaithful data augmentation）、忠实性感知调优（faithfulness-aware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</si>
  <si>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</si>
  <si>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</si>
  <si>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</si>
  <si>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在监督微调（SFT）阶段，论文作者发现使用标准的短上下文指令数据集（如UltraChat）就足以在长上下文任务上取得最佳性能，而添加长合成指令数据反而会损害性能。
来自: [2025.acl-long.366_How to Train Long-Context Language Models (Effectively), 第1页, 2025.acl-long.366_How to Train Long-Context Language Models (Effectively)_chunk_002]
来自: [2025.acl-long.366_How to Train Long-Context Language Models (Effectively), 第6页, 2025.acl-long.366_How to Train Long-Context Language Models (Effectively)_chunk_015]</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</si>
  <si>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</si>
  <si>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</si>
  <si>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知识整合过程包含三个主要步骤：识别跨段落的一致信息，检测各组一致信息之间的冲突，以及过滤无关信息。
来自: [2025.acl-long.1476_Astute RAG, 第5页, 2025.acl-long.1476_Astute RAG_chunk_011]</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</si>
  <si>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</si>
  <si>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</si>
  <si>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通过将推理过程拆分为离线与在线两个阶段来降低在线延迟：离线阶段预先对语料库中的文档执行层次化文档结构化任务；在线阶段仅需处理用户查询分析及自适应精炼，由于在线阶段只涉及数百个输入 token 和数十个输出 token，整体延迟仅为标准设置的约 25%。
来自: [2025.acl-long.176_Hierarchical Document Refinement for Long-context Retrieval-augmented Generation, 第6页, 2025.acl-long.176_Hierarchical Document Refinement for Long-context Retrieval-augmented Generation_chunk_013] 和 [2025.acl-long.176_Hierarchical Document Refinement for Long-context Retrieval-augmented Generation, 第15页, 2025.acl-long.176_Hierarchical Document Refinement for Long-context Retrieval-augmented Generation_chunk_029]</t>
  </si>
  <si>
    <t>DRAG框架如何保护用户隐私？请描述其隐私保护机制。</t>
  </si>
  <si>
    <t>DRAG通过传输去标识化的查询和结构化知识而不是完整响应来保护用户隐私。这样可以避免传输完整的用户查询和敏感信息。</t>
  </si>
  <si>
    <t>DRAG框架通过本地小模型对用户查询进行改写，剥离其中的敏感信息，然后将去标识化的查询发送给云端大模型，云端模型仅返回相关证据和知识图谱，最后由本地小模型结合这些信息生成最终答案，从而避免用户隐私数据直接暴露给云端。
来自: [2025.acl-long.358_DRAG, 第5页, 2025.acl-long.358_DRAG_chunk_010]</t>
  </si>
  <si>
    <t>简述 Think&amp; Cite 框架中 SG-MCTS 的工作流程及其步骤。</t>
  </si>
  <si>
    <t>SG-MCTS利用LLMs的自反思能力来推理MCTS的中间状态，以指导树扩展过程。在每次迭代中，SG-MCTS 遵循四个步骤，即选择、反思引导的扩展、评估和反向传播。</t>
  </si>
  <si>
    <t>SG-MCTS 的工作流程每轮迭代包含四个步骤：选择、反思引导的扩展、评估和反向传播。在选择阶段，利用 UCT 算法从搜索树中选出最优节点。扩展阶段则通过自我反思对中间状态进行实时批评与细化：模型生成搜索查询、检索证据，若证据不充分则迭代反思并修正查询，最终生成句子并标注引用。评估阶段使用进度奖励模型从生成进度和归因进度两方面计算节点奖励。反向传播阶段将奖励沿路径回传，更新树节点值，以指导后续搜索。
来自: [2025.acl-long.490_Think&amp;Cite, 第3页, 2025.acl-long.490_Think&amp;Cite_chunk_006] 和 [2025.acl-long.490_Think&amp;Cite, 第4页, 2025.acl-long.490_Think&amp;Cite_chunk_008]</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</si>
  <si>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</si>
  <si>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</si>
  <si>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的段落选择提示引导的关键过程包含以下三个步骤：
1. **列举信息需求**：分解输入问题，列出回答该问题所需的关键信息子目标。
2. **匹配相关段落**：针对每个信息需求，识别出包含相关信息的候选段落。
3. **选择最优段落子集**：从候选段落中选出一个子集，使其共同提供最全面、多样化的信息覆盖，以有效回答查询。
来自: [2025.acl-long.861_Shifting from Ranking to Set Selection for Retrieval Augmented Generation, 第3页, 2025.acl-long.861_Shifting from Ranking to Set Selection for Retrieval Augmented Generation_chunk_006] 和 [2025.acl-long.861_Shifting from Ranking to Set Selection for Retrieval Augmented Generation, 第4页, 2025.acl-long.861_Shifting from Ranking to Set Selection for Retrieval Augmented Generation_chunk_008]</t>
  </si>
  <si>
    <t>Meta-Bench基准测试中，α参数的最优范围是多少？这个参数的作用是什么？</t>
  </si>
  <si>
    <t>α参数的最优范围在0.65到0.8之间。这个参数用于平衡工具描述和参数描述在工具检索中的权重。</t>
  </si>
  <si>
    <t>α参数的最优范围是0.65到0.8。该参数用于平衡工具描述和参数描述在工具检索中的权重，从而影响检索性能。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</si>
  <si>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</si>
  <si>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</si>
  <si>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通过两个步骤从 RDF 图生成领域特定的属性图：  
1. **领域特定模式策展**：人工选定领域，手动设计属性图模式，并建立从 Wikidata 模式到该模式的映射，包括实体类型（QID）、关系类型和属性（PID）的对应关系。  
2. **自动 RDF 到属性图转换**：基于策展的模式，通过向 Wikidata 发送 SPARQL 查询，获取所有符合模式的实体和关系，并将其转换为目标属性图中的节点和边。转换引擎还支持数据类型转换、单位标准化、排名过滤等功能，确保输出严格类型化的数据。
来自: [2025.acl-long.438_CypherBench, 第4页, 2025.acl-long.438_CypherBench_chunk_007]  
来自: [2025.acl-long.438_CypherBench, 第5页, 2025.acl-long.438_CypherBench_chunk_008]</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</si>
  <si>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</si>
  <si>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</si>
  <si>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为：第一阶段从医疗笔记中蒸馏理由，使小语言模型建立对文本临床信息的基础理解；第二阶段引入知识增强注意力，将数值化实验室测试与结构化医学知识对齐，以蒸馏基于实验室测试的理由；第三阶段完全整合文本与数值输入，使模型生成临床连贯的多模态理由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</si>
  <si>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</si>
  <si>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</si>
  <si>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查询中心的方法弥合文档-查询差距：首先为每个文档生成多样化的查询，并利用蒙特卡洛方法估计潜在查询的聚类中心，以此作为文档的替代嵌入，从而对齐查询与文档的语义空间；同时，引入文档指纹策略，重新注入文档的独特身份，以保持文档表示的可区分性，避免所有文档表示变得过于相似。
来自: [2025.acl-long.217_QAEncoder, 第1页, 2025.acl-long.217_QAEncoder_chunk_003]  
来自: [2025.acl-long.217_QAEncoder, 第2页, 2025.acl-long.217_QAEncoder_chunk_004]  
来自: [2025.acl-long.217_QAEncoder, 第4页, 2025.acl-long.217_QAEncoder_chunk_008]</t>
  </si>
  <si>
    <t>在 HALOGEN 的文本简化任务中，如何验证模型生成的简化文本是否忠实于原文？</t>
  </si>
  <si>
    <t>先用 GPT-3.5-turbo 将简化文本分解为独立的原子事实，再用 Llama-2-70B-chat 判断每个原子事实是否被原文蕴含。</t>
  </si>
  <si>
    <t>在 HALOGEN 的文本简化任务中，验证方法与摘要任务相同：首先使用 GPT-3.5 将模型生成的简化文本分解为独立的原子事实，然后使用 Llama-2-70B 对每个原子事实进行蕴含判断，以确定其是否忠实于原文。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</si>
  <si>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</si>
  <si>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</si>
  <si>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</si>
  <si>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scenario中，GPT-4o是表现最好的模型，而Llama-3-70B与GPT-4o-mini性能相当；在Full scenario中，Llama-3-70B则超越GPT-4o，取得了最佳性能。
来自: [2025.acl-long.1574_CiteEval, 第7页, 2025.acl-long.1574_CiteEval_chunk_018]</t>
  </si>
  <si>
    <t>"FaithfulRAG"在FaithEval数据集上使用Mistral-7B作为backbone时的准确率是多少？相比最强基线提高了多少？</t>
  </si>
  <si>
    <t>81.7%，比最强基线(KRE的73.2%)提高了8.5%。</t>
  </si>
  <si>
    <t>FaithfulRAG在FaithEval数据集上使用Mistral-7B作为backbone时准确率为81.7%，相比最强基线KRE的73.2%提高了8.5%。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</si>
  <si>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</si>
  <si>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</si>
  <si>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相较于 vanilla RAG 模型，平均准确率提升了约 2.5%；在不同规模的 RAG 系统上，它相对于 MiniCPM3-4B 和 Qwen2.5-14B-Instruct 分别带来了 7.6% 和 4.1% 的提升。这说明 RankCoT 能够有效提炼检索到的知识，生成更有意义的精炼信息，帮助 LLM 更准确地回答问题，并且在不同配置下具有良好的泛化能力。
来自: [2025.acl-long.629_RankCoT, 第6页, 2025.acl-long.629_RankCoT_chunk_018]</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</si>
  <si>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</si>
  <si>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</si>
  <si>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LLM（GPT-4）生成事实的幻觉率范围因任务而异，从 3% 到 86% 不等。
来自: [2025.acl-long.71_HALoGEN, 第1页, 2025.acl-long.71_HALoGEN_chunk_001]</t>
  </si>
  <si>
    <t xml:space="preserve"> 在LongBench v2基准测试中，人类专家在15分钟时间限制下的准确率是多少？</t>
  </si>
  <si>
    <t>人类专家在15分钟时间限制下的准确率为53.7%。</t>
  </si>
  <si>
    <t>在LongBench v2基准测试中，人类专家在15分钟时间限制下的准确率为53.7%。
来自: [LongBench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</si>
  <si>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</si>
  <si>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</si>
  <si>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AGENTSTAR在WebShop、ALFWorld和BabyAI任务上均显著优于GPT-4-Turbo，分别高出61.00、20.50和9.87分。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</si>
  <si>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</si>
  <si>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</si>
  <si>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Reasoning与DeepSeek-R1结合后准确率达到23.8%，相比基础模型DeepSeek-R1的9.4%提升了14.4个百分点。与OpenAI Deep Research的差距从原来的17.2%大幅缩小至仅2.8%。
来自: [2025.acl-long.1383_Agentic Reasoning, 第1页, 2025.acl-long.1383_Agentic Reasoning_chunk_002]</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</si>
  <si>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</si>
  <si>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</si>
  <si>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1上达到74.36，Level 2上达到69.21，Level 3上达到45.46，平均分66.13。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</si>
  <si>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</si>
  <si>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</si>
  <si>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在Asclepius基准测试中，人类医生的整体表现优于所有被评估的Med-MLLMs。具体而言，即使是一位平均准确率为57.4%的初级医生，其表现也略高于最优秀的Med-MLLM GPT-4V（准确率54.3%）。不过，GPT-4V的表现已与初级人类医生相当，表明其有潜力辅助诊断过程。此外，人类医生在不同专科的表现差异很大，而Med-MLLMs在不同专科间的表现差异则明显较小。
来自: [2025.acl-long.1178_Asclepius, 第7页, 2025.acl-long.1178_Asclepius_chunk_016]
来自: [2025.acl-long.1178_Asclepius, 第7页, 2025.acl-long.1178_Asclepius_chunk_015]</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</si>
  <si>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</si>
  <si>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</si>
  <si>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是得分最高的模型，也是唯一达到及格标准的模型，其广义准确率得分为64.5分（人类专家得分为84.8分）。相比之下，开源模型整体表现较弱，只有Qwen2-VL（得分30.6）和LLaVA-OneVision（得分22.0和25.0）的分数超过了20分。
来自: [2025.acl-long.57_LongDocURL, 第6页, 2025.acl-long.57_LongDocURL_chunk_013]
来自: [2025.acl-long.57_LongDocURL, 第16页, 2025.acl-long.57_LongDocURL_chunk_042]</t>
  </si>
  <si>
    <t>RAGEval 提出的自动评估指标与人工评估的一致性如何？</t>
  </si>
  <si>
    <t>实验结果表明，RAGEval 的机器自动评估与人工评估在所有指标上均表现出高度一致性。两者之间的最终绝对差异仅为 1.67%。</t>
  </si>
  <si>
    <t>RAGEval 使用 LLM 对提出的指标进行评分，与人工评估表现出高度一致性。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</si>
  <si>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</si>
  <si>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</si>
  <si>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</si>
  <si>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RAG》通过**自适应生成内部知识（adaptive generation of internal knowledge）**来提取LLM的内部知识，即利用LLM根据查询自适应地生成内部段落（I）。  
《FaithfulRAG》则通过**Self-Fact Mining（自我事实挖掘）**模块来提取内部知识，该模块通过外部化LLM的参数化知识，分层提取高层次的自我知识、生成自我上下文并最终提炼为细粒度的自我事实。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</si>
  <si>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</si>
  <si>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</si>
  <si>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的核心创新在于将查询增强与查询编码统一到一个解码器 LLM 中，消除了传统方法中任务分离导致的信息共享不足和累积误差，并能够根据用户查询自适应地选择最优增强策略（查询释义、查询扩展或查询抽象）。  
FaithfulRAG 的核心创新并不直接针对查询理解，而是聚焦于生成阶段：通过自事实挖掘模块提取问题相关的细粒度知识，并利用自思考模块对检索上下文与模型参数知识之间的冲突进行事实级诊断与协调，从而在保持忠实性的同时避免误解上下文。
来自: [2025.acl-long.693_UniRAG, 第1页, 2025.acl-long.693_UniRAG_chunk_000]  
来自: [2025.acl-long.693_UniRAG, 第1页, 2025.acl-long.693_UniRAG_chunk_002]  
来自: [2025.acl-long.1062_FaithfulRAG, 第2页, 2025.acl-long.1062_FaithfulRAG_chunk_005]  
来自: [2025.acl-long.1062_FaithfulRAG, 第13页, 2025.acl-long.1062_FaithfulRAG_chunk_027]</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</si>
  <si>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</si>
  <si>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</si>
  <si>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多语言RAG评估基准，但MEMERAG是元评估基准，用于开发自动评估器，评估维度为Faithfulness和Relevance；DragonBall是场景特定基准，用于评估RAG系统，评估维度为Completeness、Hallucination和Irrelevance。两者都支持多语言，MEMERAG覆盖5种语言，DragonBall仅中英文。
来自: [2025.acl-long.1101_MEMERAG, 第3页, 2025.acl-long.1101_MEMERAG_chunk_007] (MEMERAG维度和多语言)
来自: [2025.acl-long.418_RAGEval, 第2页, 2025.acl-long.418_RAGEval_chunk_002] (DragonBall维度)
来自: [2025.acl-long.418_RAGEval, 第4页, 2025.acl-long.418_RAGEval_chunk_008] (DragonBall多语言和场景)</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</si>
  <si>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</si>
  <si>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</si>
  <si>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根据已有信息，无法回答此问题。</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</si>
  <si>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</si>
  <si>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</si>
  <si>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是一个专注于评估大语言模型在长文本场景下深度理解与推理能力的基准测试，涵盖单文档问答、多文档问答、长上下文学习等六类任务，上下文长度从 8k 到 2M 词，属于静态文本理解评估。  
AGENTGYM 则是一个面向基于 LLM 的通用智能体的交互式框架，覆盖网页导航、文字游戏、家务、数字游戏、具身任务、工具使用和编程等七类真实世界场景，支持智能体在多轮交互中探索、评估和自我改进，属于动态决策与行动能力的评估与训练平台。
来自: [2025.acl-long.183_LongBench v2, 第1页, 2025.acl-long.183_LongBench v2_chunk_000]  
来自: [2025.acl-long.183_LongBench v2, 第3页, 2025.acl-long.183_LongBench v2_chunk_009]  
来自: [2025.acl-long.1355_AgentGym, 第1页, 2025.acl-long.1355_AgentGym_chunk_001]  
来自: [2025.acl-long.1355_AgentGym, 第4页, 2025.acl-long.1355_AgentGym_chunk_008]</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</si>
  <si>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</si>
  <si>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</si>
  <si>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的核心机制是集成外部 LLM-based 代理工具（网络搜索、代码执行和构建知识图谱的 Mind-Map），在推理过程中动态调用这些代理来辅助问题求解。  
AR-MCTS 的核心机制是将主动检索（Active Retrieval）与蒙特卡洛树搜索（MCTS）相结合，在 MCTS 扩展阶段动态检索相关知识以增强采样多样性与准确性，并逐步对齐过程奖励模型（PRM）实现过程级推理验证。
来自: [2025.acl-long.1383_Agentic Reasoning, 第2页, 2025.acl-long.1383_Agentic Reasoning_chunk_003]  
来自: [2025.acl-long.1383_Agentic Reasoning, 第2页, 2025.acl-long.1383_Agentic Reasoning_chunk_004]  
来自: [2025.acl-long.180_Progressive Multimodal Reasoning via Active Retrieval, 第1页, 2025.acl-long.180_Progressive Multimodal Reasoning via Active Retrieval_chunk_000]  
来自: [2025.acl-long.180_Progressive Multimodal Reasoning via Active Retrieval, 第2页, 2025.acl-long.180_Progressive Multimodal Reasoning via Active Retrieval_chunk_003]</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</si>
  <si>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</si>
  <si>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</si>
  <si>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采用训练无关的多智能体协同过滤方法，通过多个LLM代理对检索文档进行评分和筛选，动态调整相关性阈值，仅保留高质量文档用于生成。  
RAG‑Critic 采用基于批评模型反馈的智能体工作流方法，先构建层级化错误体系并训练错误批评模型，再由规划代理根据错误反馈自动定制和执行修正方案，实现错误驱动的自我纠正。
来自: [2025.acl-long.131_MAIN-RAG, 第1页, 2025.acl-long.131_MAIN-RAG_chunk_004]  
来自: [2025.acl-long.179_RAG-Critic, 第2页, 2025.acl-long.179_RAG-Critic_chunk_002]</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</si>
  <si>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</si>
  <si>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</si>
  <si>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QAEncoder侧重于优化QA系统的**检索阶段**，其核心痛点是密集检索器中存在的**文档-查询语义差距**（document-query gap），即文档表示与用户查询表示在语义空间中不匹配的问题。
来自: [2025.acl-long.217_QAEncoder, 第1页, 2025.acl-long.217_QAEncoder_chunk_003] 和 [2025.acl-long.217_QAEncoder, 第2页, 2025.acl-long.217_QAEncoder_chunk_004]
On Synthesizing Data for Context Attribution in Question Answering（SYNQA）侧重于优化QA系统的**后处理/归因阶段**（即答案生成之后），其核心痛点是训练上下文归因模型时对**大规模人工标注数据集的依赖**，以及由此带来的可扩展性问题。
来自: [2025.acl-long.828_On Synthesizing Data for Context Attribution in Question Answering, 第9页, 2025.acl-long.828_On Synthesizing Data for Context Attribution in Question Answering_chunk_024] 和 [2025.acl-long.828_On Synthesizing Data for Context Attribution in Question Answering, 第8页, 2025.acl-long.828_On Synthesizing Data for Context Attribution in Question Answering_chunk_020]</t>
  </si>
  <si>
    <t>这10篇论文中哪一篇提出了名为"RAG-Guard"的安全防护框架？</t>
  </si>
  <si>
    <t>不可回答类</t>
  </si>
  <si>
    <t>无法回答。</t>
  </si>
  <si>
    <t>"ProLong"模型在训练过程中使用了哪种具体的优化器来处理长序列训练的梯度问题？</t>
  </si>
  <si>
    <t>根据已有信息，无法确定ProLong模型使用了哪种具体的优化器。提供的片段中仅列出了优化器的部分参数（如decay = 0.1, β₁ = 0.9, β₂ = 0.95），但未提及优化器的具体名称（如AdamW等）。
来自: [2025.acl-long.366_How to Train Long-Context Language Models (Effectively), 第1页, 2025.acl-long.366_How to Train Long-Context Language Models (Effectively)_chunk_002]</t>
  </si>
  <si>
    <t>SETR模型在训练时具体的训练时间是多少小时？</t>
  </si>
  <si>
    <t>根据已有信息，无法回答此问题。提供的论文片段中提到了SETR的训练配置（如5个epoch、学习率5e-6、有效批次大小512、使用16块A100 GPU），但未提及具体的训练时间（小时数）。</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</si>
  <si>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</si>
  <si>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</si>
  <si>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</si>
  <si>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</si>
  <si>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根据已有信息，论文未提供Mind-Map agent的具体神经网络架构（如层数、参数等细节），仅说明其知识图谱构建和Graph-RAG检索均使用DeepSeek-V3模型。
来自: [2025.acl-long.1383_Agentic Reasoning, 第5页, 2025.acl-long.1383_Agentic Reasoning_chunk_009]</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</si>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</sst>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44" workbookViewId="0">
      <selection activeCell="N45" sqref="N45"/>
    </sheetView>
  </sheetViews>
  <sheetFormatPr defaultRowHeight="14" x14ac:dyDescent="0.25"/>
  <cols>
    <col min="1" max="1" width="25.1796875" style="2" customWidth="1"/>
    <col min="2" max="2" width="10.54296875" style="2" customWidth="1"/>
    <col min="3" max="4" width="25.17968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409.5" x14ac:dyDescent="0.25">
      <c r="A2" s="2" t="s">
        <v>15</v>
      </c>
      <c r="B2" s="2" t="s">
        <v>16</v>
      </c>
      <c r="C2" s="2" t="s">
        <v>17</v>
      </c>
      <c r="D2" s="2" t="s">
        <v>18</v>
      </c>
      <c r="E2" s="2">
        <v>1</v>
      </c>
      <c r="F2" s="2">
        <v>1</v>
      </c>
      <c r="G2" s="2">
        <v>1</v>
      </c>
      <c r="H2" s="2">
        <v>1</v>
      </c>
      <c r="I2" s="4">
        <v>1</v>
      </c>
      <c r="J2" s="2">
        <v>1</v>
      </c>
      <c r="K2" s="2" t="b">
        <v>0</v>
      </c>
      <c r="L2" s="2">
        <v>3</v>
      </c>
      <c r="M2" s="2">
        <v>0</v>
      </c>
      <c r="N2" s="2">
        <v>0</v>
      </c>
    </row>
    <row r="3" spans="1:15" ht="252" x14ac:dyDescent="0.25">
      <c r="A3" s="2" t="s">
        <v>19</v>
      </c>
      <c r="B3" s="2" t="s">
        <v>16</v>
      </c>
      <c r="C3" s="2" t="s">
        <v>20</v>
      </c>
      <c r="D3" s="2" t="s">
        <v>21</v>
      </c>
      <c r="E3" s="2">
        <v>0</v>
      </c>
      <c r="F3" s="2">
        <v>0</v>
      </c>
      <c r="G3" s="2">
        <v>0</v>
      </c>
      <c r="H3" s="2">
        <v>0</v>
      </c>
      <c r="I3" s="4">
        <v>0</v>
      </c>
      <c r="J3" s="2">
        <v>1</v>
      </c>
      <c r="K3" s="2" t="b">
        <v>0</v>
      </c>
      <c r="L3" s="2">
        <v>1</v>
      </c>
      <c r="M3" s="2">
        <v>0</v>
      </c>
      <c r="N3" s="2">
        <v>0</v>
      </c>
    </row>
    <row r="4" spans="1:15" ht="322" x14ac:dyDescent="0.25">
      <c r="A4" s="2" t="s">
        <v>22</v>
      </c>
      <c r="B4" s="2" t="s">
        <v>16</v>
      </c>
      <c r="C4" s="2" t="s">
        <v>23</v>
      </c>
      <c r="D4" s="2" t="s">
        <v>24</v>
      </c>
      <c r="E4" s="2">
        <v>1</v>
      </c>
      <c r="F4" s="2">
        <v>1</v>
      </c>
      <c r="G4" s="2">
        <v>1</v>
      </c>
      <c r="H4" s="2">
        <v>1</v>
      </c>
      <c r="I4" s="4">
        <v>1</v>
      </c>
      <c r="J4" s="2">
        <v>1</v>
      </c>
      <c r="K4" s="2" t="b">
        <v>0</v>
      </c>
      <c r="L4" s="2">
        <v>1</v>
      </c>
      <c r="M4" s="2">
        <v>0</v>
      </c>
      <c r="N4" s="2">
        <v>0</v>
      </c>
    </row>
    <row r="5" spans="1:15" ht="409.5" x14ac:dyDescent="0.25">
      <c r="A5" s="2" t="s">
        <v>25</v>
      </c>
      <c r="B5" s="2" t="s">
        <v>16</v>
      </c>
      <c r="C5" s="2" t="s">
        <v>26</v>
      </c>
      <c r="D5" s="2" t="s">
        <v>27</v>
      </c>
      <c r="E5" s="2">
        <v>1</v>
      </c>
      <c r="F5" s="2">
        <v>1</v>
      </c>
      <c r="G5" s="2">
        <v>1</v>
      </c>
      <c r="H5" s="2">
        <v>1</v>
      </c>
      <c r="I5" s="4">
        <v>1</v>
      </c>
      <c r="J5" s="2">
        <v>0.8</v>
      </c>
      <c r="K5" s="2" t="b">
        <v>0</v>
      </c>
      <c r="L5" s="2">
        <v>2</v>
      </c>
      <c r="M5" s="2">
        <v>0</v>
      </c>
      <c r="N5" s="2">
        <v>1</v>
      </c>
    </row>
    <row r="6" spans="1:15" ht="409.5" x14ac:dyDescent="0.25">
      <c r="A6" s="2" t="s">
        <v>28</v>
      </c>
      <c r="B6" s="2" t="s">
        <v>16</v>
      </c>
      <c r="C6" s="2" t="s">
        <v>29</v>
      </c>
      <c r="D6" s="2" t="s">
        <v>30</v>
      </c>
      <c r="E6" s="2">
        <v>1</v>
      </c>
      <c r="F6" s="2">
        <v>1</v>
      </c>
      <c r="G6" s="2">
        <v>1</v>
      </c>
      <c r="H6" s="2">
        <v>1</v>
      </c>
      <c r="I6" s="4">
        <v>0</v>
      </c>
      <c r="J6" s="2">
        <v>0.85699999999999998</v>
      </c>
      <c r="K6" s="2" t="b">
        <v>0</v>
      </c>
      <c r="L6" s="2">
        <v>3</v>
      </c>
      <c r="M6" s="2">
        <v>0</v>
      </c>
      <c r="N6" s="2">
        <v>1</v>
      </c>
    </row>
    <row r="7" spans="1:15" ht="409.5" x14ac:dyDescent="0.25">
      <c r="A7" s="2" t="s">
        <v>31</v>
      </c>
      <c r="B7" s="2" t="s">
        <v>16</v>
      </c>
      <c r="C7" s="2" t="s">
        <v>32</v>
      </c>
      <c r="D7" s="2" t="s">
        <v>33</v>
      </c>
      <c r="E7" s="2">
        <v>1</v>
      </c>
      <c r="F7" s="2">
        <v>1</v>
      </c>
      <c r="G7" s="2">
        <v>1</v>
      </c>
      <c r="H7" s="2">
        <v>1</v>
      </c>
      <c r="I7" s="4">
        <v>1</v>
      </c>
      <c r="J7" s="2">
        <v>0.8</v>
      </c>
      <c r="K7" s="2" t="b">
        <v>0</v>
      </c>
      <c r="L7" s="2">
        <v>2</v>
      </c>
      <c r="M7" s="2">
        <v>0</v>
      </c>
      <c r="N7" s="2">
        <v>1</v>
      </c>
    </row>
    <row r="8" spans="1:15" ht="409.5" x14ac:dyDescent="0.25">
      <c r="A8" s="2" t="s">
        <v>34</v>
      </c>
      <c r="B8" s="2" t="s">
        <v>16</v>
      </c>
      <c r="C8" s="2" t="s">
        <v>35</v>
      </c>
      <c r="D8" s="2" t="s">
        <v>36</v>
      </c>
      <c r="E8" s="2">
        <v>1</v>
      </c>
      <c r="F8" s="2">
        <v>1</v>
      </c>
      <c r="G8" s="2">
        <v>1</v>
      </c>
      <c r="H8" s="2">
        <v>1</v>
      </c>
      <c r="I8" s="4">
        <v>1</v>
      </c>
      <c r="J8" s="2">
        <v>1</v>
      </c>
      <c r="K8" s="2" t="b">
        <v>0</v>
      </c>
      <c r="L8" s="2">
        <v>1</v>
      </c>
      <c r="M8" s="2">
        <v>0</v>
      </c>
      <c r="N8" s="2">
        <v>0</v>
      </c>
    </row>
    <row r="9" spans="1:15" ht="409.5" x14ac:dyDescent="0.25">
      <c r="A9" s="2" t="s">
        <v>37</v>
      </c>
      <c r="B9" s="2" t="s">
        <v>16</v>
      </c>
      <c r="C9" s="2" t="s">
        <v>38</v>
      </c>
      <c r="D9" s="2" t="s">
        <v>39</v>
      </c>
      <c r="E9" s="2">
        <v>1</v>
      </c>
      <c r="F9" s="2">
        <v>1</v>
      </c>
      <c r="G9" s="2">
        <v>1</v>
      </c>
      <c r="H9" s="2">
        <v>1</v>
      </c>
      <c r="I9" s="4">
        <v>1</v>
      </c>
      <c r="J9" s="2">
        <v>1</v>
      </c>
      <c r="K9" s="2" t="b">
        <v>0</v>
      </c>
      <c r="L9" s="2">
        <v>4</v>
      </c>
      <c r="M9" s="2">
        <v>0</v>
      </c>
      <c r="N9" s="2">
        <v>0</v>
      </c>
    </row>
    <row r="10" spans="1:15" ht="409.5" x14ac:dyDescent="0.25">
      <c r="A10" s="2" t="s">
        <v>40</v>
      </c>
      <c r="B10" s="2" t="s">
        <v>16</v>
      </c>
      <c r="C10" s="2" t="s">
        <v>41</v>
      </c>
      <c r="D10" s="2" t="s">
        <v>42</v>
      </c>
      <c r="E10" s="2">
        <v>1</v>
      </c>
      <c r="F10" s="2">
        <v>1</v>
      </c>
      <c r="G10" s="2">
        <v>1</v>
      </c>
      <c r="H10" s="2">
        <v>1</v>
      </c>
      <c r="I10" s="4">
        <v>1</v>
      </c>
      <c r="J10" s="2">
        <v>1</v>
      </c>
      <c r="K10" s="2" t="b">
        <v>0</v>
      </c>
      <c r="L10" s="2">
        <v>3</v>
      </c>
      <c r="M10" s="2">
        <v>0</v>
      </c>
      <c r="N10" s="2">
        <v>0</v>
      </c>
    </row>
    <row r="11" spans="1:15" ht="409.5" x14ac:dyDescent="0.25">
      <c r="A11" s="2" t="s">
        <v>43</v>
      </c>
      <c r="B11" s="2" t="s">
        <v>16</v>
      </c>
      <c r="C11" s="2" t="s">
        <v>44</v>
      </c>
      <c r="D11" s="2" t="s">
        <v>45</v>
      </c>
      <c r="E11" s="2">
        <v>1</v>
      </c>
      <c r="F11" s="2">
        <v>1</v>
      </c>
      <c r="G11" s="2">
        <v>1</v>
      </c>
      <c r="H11" s="2">
        <v>1</v>
      </c>
      <c r="I11" s="4">
        <v>1</v>
      </c>
      <c r="J11" s="2">
        <v>1</v>
      </c>
      <c r="K11" s="2" t="b">
        <v>0</v>
      </c>
      <c r="L11" s="2">
        <v>3</v>
      </c>
      <c r="M11" s="2">
        <v>0</v>
      </c>
      <c r="N11" s="2">
        <v>0</v>
      </c>
    </row>
    <row r="12" spans="1:15" ht="322"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350" x14ac:dyDescent="0.25">
      <c r="A14" s="2" t="s">
        <v>52</v>
      </c>
      <c r="B14" s="2" t="s">
        <v>53</v>
      </c>
      <c r="C14" s="2" t="s">
        <v>54</v>
      </c>
      <c r="D14" s="2" t="s">
        <v>55</v>
      </c>
      <c r="E14" s="2">
        <v>1</v>
      </c>
      <c r="F14" s="2">
        <v>1</v>
      </c>
      <c r="G14" s="2">
        <v>1</v>
      </c>
      <c r="H14" s="2">
        <v>1</v>
      </c>
      <c r="I14" s="4">
        <v>0.5</v>
      </c>
      <c r="J14" s="2">
        <v>1</v>
      </c>
      <c r="K14" s="2" t="b">
        <v>0</v>
      </c>
      <c r="L14" s="2">
        <v>1</v>
      </c>
      <c r="M14" s="2">
        <v>0</v>
      </c>
      <c r="N14" s="2">
        <v>0</v>
      </c>
    </row>
    <row r="15" spans="1:15" ht="168" x14ac:dyDescent="0.25">
      <c r="A15" s="2" t="s">
        <v>56</v>
      </c>
      <c r="B15" s="2" t="s">
        <v>53</v>
      </c>
      <c r="C15" s="2" t="s">
        <v>57</v>
      </c>
      <c r="D15" s="2" t="s">
        <v>58</v>
      </c>
      <c r="E15" s="2">
        <v>1</v>
      </c>
      <c r="F15" s="2">
        <v>1</v>
      </c>
      <c r="G15" s="2">
        <v>1</v>
      </c>
      <c r="H15" s="2">
        <v>1</v>
      </c>
      <c r="I15" s="4">
        <v>1</v>
      </c>
      <c r="J15" s="2">
        <v>1</v>
      </c>
      <c r="K15" s="2" t="b">
        <v>0</v>
      </c>
      <c r="L15" s="2">
        <v>3</v>
      </c>
      <c r="M15" s="2">
        <v>0</v>
      </c>
      <c r="N15" s="2">
        <v>0</v>
      </c>
    </row>
    <row r="16" spans="1:15" ht="409.5" x14ac:dyDescent="0.25">
      <c r="A16" s="2" t="s">
        <v>59</v>
      </c>
      <c r="B16" s="2" t="s">
        <v>53</v>
      </c>
      <c r="C16" s="2" t="s">
        <v>60</v>
      </c>
      <c r="D16" s="2" t="s">
        <v>61</v>
      </c>
      <c r="E16" s="2">
        <v>1</v>
      </c>
      <c r="F16" s="2">
        <v>1</v>
      </c>
      <c r="G16" s="2">
        <v>1</v>
      </c>
      <c r="H16" s="2">
        <v>1</v>
      </c>
      <c r="I16" s="4">
        <v>0.5</v>
      </c>
      <c r="J16" s="2">
        <v>1</v>
      </c>
      <c r="K16" s="2" t="b">
        <v>0</v>
      </c>
      <c r="L16" s="2">
        <v>3</v>
      </c>
      <c r="M16" s="2">
        <v>0</v>
      </c>
      <c r="N16" s="2">
        <v>0</v>
      </c>
    </row>
    <row r="17" spans="1:14" ht="409.5" x14ac:dyDescent="0.25">
      <c r="A17" s="2" t="s">
        <v>62</v>
      </c>
      <c r="B17" s="2" t="s">
        <v>53</v>
      </c>
      <c r="C17" s="2" t="s">
        <v>63</v>
      </c>
      <c r="D17" s="2" t="s">
        <v>64</v>
      </c>
      <c r="E17" s="2">
        <v>1</v>
      </c>
      <c r="F17" s="2">
        <v>1</v>
      </c>
      <c r="G17" s="2">
        <v>1</v>
      </c>
      <c r="H17" s="2">
        <v>1</v>
      </c>
      <c r="I17" s="4">
        <v>1</v>
      </c>
      <c r="J17" s="2">
        <v>0.66700000000000004</v>
      </c>
      <c r="K17" s="2" t="b">
        <v>0</v>
      </c>
      <c r="L17" s="2">
        <v>1</v>
      </c>
      <c r="M17" s="2">
        <v>0</v>
      </c>
      <c r="N17" s="2">
        <v>1</v>
      </c>
    </row>
    <row r="18" spans="1:14" ht="409.5" x14ac:dyDescent="0.25">
      <c r="A18" s="2" t="s">
        <v>65</v>
      </c>
      <c r="B18" s="2" t="s">
        <v>53</v>
      </c>
      <c r="C18" s="2" t="s">
        <v>66</v>
      </c>
      <c r="D18" s="2" t="s">
        <v>67</v>
      </c>
      <c r="E18" s="2">
        <v>1</v>
      </c>
      <c r="F18" s="2">
        <v>1</v>
      </c>
      <c r="G18" s="2">
        <v>1</v>
      </c>
      <c r="H18" s="2">
        <v>1</v>
      </c>
      <c r="I18" s="4">
        <v>1</v>
      </c>
      <c r="J18" s="2">
        <v>1</v>
      </c>
      <c r="K18" s="2" t="b">
        <v>0</v>
      </c>
      <c r="L18" s="2">
        <v>4</v>
      </c>
      <c r="M18" s="2">
        <v>0</v>
      </c>
      <c r="N18" s="2">
        <v>0</v>
      </c>
    </row>
    <row r="19" spans="1:14" ht="409.5" x14ac:dyDescent="0.25">
      <c r="A19" s="2" t="s">
        <v>68</v>
      </c>
      <c r="B19" s="2" t="s">
        <v>53</v>
      </c>
      <c r="C19" s="2" t="s">
        <v>69</v>
      </c>
      <c r="D19" s="2" t="s">
        <v>70</v>
      </c>
      <c r="E19" s="2">
        <v>1</v>
      </c>
      <c r="F19" s="2">
        <v>1</v>
      </c>
      <c r="G19" s="2">
        <v>1</v>
      </c>
      <c r="H19" s="2">
        <v>1</v>
      </c>
      <c r="I19" s="4">
        <v>1</v>
      </c>
      <c r="J19" s="2">
        <v>1</v>
      </c>
      <c r="K19" s="2" t="b">
        <v>0</v>
      </c>
      <c r="L19" s="2">
        <v>3</v>
      </c>
      <c r="M19" s="2">
        <v>0</v>
      </c>
      <c r="N19" s="2">
        <v>0</v>
      </c>
    </row>
    <row r="20" spans="1:14" ht="364" x14ac:dyDescent="0.25">
      <c r="A20" s="2" t="s">
        <v>71</v>
      </c>
      <c r="B20" s="2" t="s">
        <v>53</v>
      </c>
      <c r="C20" s="2" t="s">
        <v>72</v>
      </c>
      <c r="D20" s="2" t="s">
        <v>73</v>
      </c>
      <c r="E20" s="2">
        <v>1</v>
      </c>
      <c r="F20" s="2">
        <v>1</v>
      </c>
      <c r="G20" s="2">
        <v>1</v>
      </c>
      <c r="H20" s="2">
        <v>1</v>
      </c>
      <c r="I20" s="4">
        <v>1</v>
      </c>
      <c r="J20" s="2">
        <v>1</v>
      </c>
      <c r="K20" s="2" t="b">
        <v>0</v>
      </c>
      <c r="L20" s="2">
        <v>2</v>
      </c>
      <c r="M20" s="2">
        <v>0</v>
      </c>
      <c r="N20" s="2">
        <v>0</v>
      </c>
    </row>
    <row r="21" spans="1:14" ht="409.5" x14ac:dyDescent="0.25">
      <c r="A21" s="2" t="s">
        <v>74</v>
      </c>
      <c r="B21" s="2" t="s">
        <v>53</v>
      </c>
      <c r="C21" s="2" t="s">
        <v>75</v>
      </c>
      <c r="D21" s="2" t="s">
        <v>76</v>
      </c>
      <c r="E21" s="2">
        <v>1</v>
      </c>
      <c r="F21" s="2">
        <v>1</v>
      </c>
      <c r="G21" s="2">
        <v>1</v>
      </c>
      <c r="H21" s="2">
        <v>1</v>
      </c>
      <c r="I21" s="4">
        <v>0.5</v>
      </c>
      <c r="J21" s="2">
        <v>0.66700000000000004</v>
      </c>
      <c r="K21" s="2" t="b">
        <v>0</v>
      </c>
      <c r="L21" s="2">
        <v>1</v>
      </c>
      <c r="M21" s="2">
        <v>0</v>
      </c>
      <c r="N21" s="2">
        <v>1</v>
      </c>
    </row>
    <row r="22" spans="1:14" ht="409.5" x14ac:dyDescent="0.25">
      <c r="A22" s="2" t="s">
        <v>77</v>
      </c>
      <c r="B22" s="2" t="s">
        <v>53</v>
      </c>
      <c r="C22" s="2" t="s">
        <v>78</v>
      </c>
      <c r="D22" s="2" t="s">
        <v>79</v>
      </c>
      <c r="E22" s="2">
        <v>1</v>
      </c>
      <c r="F22" s="2">
        <v>1</v>
      </c>
      <c r="G22" s="2">
        <v>1</v>
      </c>
      <c r="H22" s="2">
        <v>1</v>
      </c>
      <c r="I22" s="4">
        <v>1</v>
      </c>
      <c r="J22" s="2">
        <v>1</v>
      </c>
      <c r="K22" s="2" t="b">
        <v>0</v>
      </c>
      <c r="L22" s="2">
        <v>3</v>
      </c>
      <c r="M22" s="2">
        <v>0</v>
      </c>
      <c r="N22" s="2">
        <v>0</v>
      </c>
    </row>
    <row r="23" spans="1:14" ht="392" x14ac:dyDescent="0.25">
      <c r="A23" s="2" t="s">
        <v>80</v>
      </c>
      <c r="B23" s="2" t="s">
        <v>53</v>
      </c>
      <c r="C23" s="2" t="s">
        <v>81</v>
      </c>
      <c r="D23" s="2" t="s">
        <v>82</v>
      </c>
      <c r="E23" s="2">
        <v>1</v>
      </c>
      <c r="F23" s="2">
        <v>1</v>
      </c>
      <c r="G23" s="2">
        <v>1</v>
      </c>
      <c r="H23" s="2">
        <v>1</v>
      </c>
      <c r="I23" s="4">
        <v>0.33300000000000002</v>
      </c>
      <c r="J23" s="2">
        <v>1</v>
      </c>
      <c r="K23" s="2" t="b">
        <v>0</v>
      </c>
      <c r="L23" s="2">
        <v>2</v>
      </c>
      <c r="M23" s="2">
        <v>0</v>
      </c>
      <c r="N23" s="2">
        <v>0</v>
      </c>
    </row>
    <row r="24" spans="1:14" ht="409.5" x14ac:dyDescent="0.25">
      <c r="A24" s="2" t="s">
        <v>83</v>
      </c>
      <c r="B24" s="2" t="s">
        <v>53</v>
      </c>
      <c r="C24" s="2" t="s">
        <v>84</v>
      </c>
      <c r="D24" s="2" t="s">
        <v>85</v>
      </c>
      <c r="E24" s="2">
        <v>1</v>
      </c>
      <c r="F24" s="2">
        <v>1</v>
      </c>
      <c r="G24" s="2">
        <v>1</v>
      </c>
      <c r="H24" s="2">
        <v>1</v>
      </c>
      <c r="I24" s="4">
        <v>1</v>
      </c>
      <c r="J24" s="2">
        <v>0.66700000000000004</v>
      </c>
      <c r="K24" s="2" t="b">
        <v>0</v>
      </c>
      <c r="L24" s="2">
        <v>1</v>
      </c>
      <c r="M24" s="2">
        <v>0</v>
      </c>
      <c r="N24" s="2">
        <v>1</v>
      </c>
    </row>
    <row r="25" spans="1:14" ht="409.5" x14ac:dyDescent="0.25">
      <c r="A25" s="2" t="s">
        <v>86</v>
      </c>
      <c r="B25" s="2" t="s">
        <v>87</v>
      </c>
      <c r="C25" s="2" t="s">
        <v>88</v>
      </c>
      <c r="D25" s="2" t="s">
        <v>89</v>
      </c>
      <c r="E25" s="2">
        <v>1</v>
      </c>
      <c r="F25" s="2">
        <v>1</v>
      </c>
      <c r="G25" s="2">
        <v>1</v>
      </c>
      <c r="H25" s="2">
        <v>1</v>
      </c>
      <c r="I25" s="4">
        <v>1</v>
      </c>
      <c r="J25" s="2">
        <v>1</v>
      </c>
      <c r="K25" s="2" t="b">
        <v>0</v>
      </c>
      <c r="L25" s="2">
        <v>2</v>
      </c>
      <c r="M25" s="2">
        <v>0</v>
      </c>
      <c r="N25" s="2">
        <v>0</v>
      </c>
    </row>
    <row r="26" spans="1:14" ht="406" x14ac:dyDescent="0.25">
      <c r="A26" s="2" t="s">
        <v>90</v>
      </c>
      <c r="B26" s="2" t="s">
        <v>87</v>
      </c>
      <c r="C26" s="2" t="s">
        <v>91</v>
      </c>
      <c r="D26" s="2" t="s">
        <v>92</v>
      </c>
      <c r="E26" s="2">
        <v>1</v>
      </c>
      <c r="F26" s="2">
        <v>1</v>
      </c>
      <c r="G26" s="2">
        <v>1</v>
      </c>
      <c r="H26" s="2">
        <v>1</v>
      </c>
      <c r="I26" s="4">
        <v>1</v>
      </c>
      <c r="J26" s="2">
        <v>1</v>
      </c>
      <c r="K26" s="2" t="b">
        <v>0</v>
      </c>
      <c r="L26" s="2">
        <v>1</v>
      </c>
      <c r="M26" s="2">
        <v>0</v>
      </c>
      <c r="N26" s="2">
        <v>0</v>
      </c>
    </row>
    <row r="27" spans="1:14" ht="409.5" x14ac:dyDescent="0.25">
      <c r="A27" s="2" t="s">
        <v>93</v>
      </c>
      <c r="B27" s="2" t="s">
        <v>87</v>
      </c>
      <c r="C27" s="2" t="s">
        <v>94</v>
      </c>
      <c r="D27" s="2" t="s">
        <v>95</v>
      </c>
      <c r="E27" s="2">
        <v>1</v>
      </c>
      <c r="F27" s="2">
        <v>1</v>
      </c>
      <c r="G27" s="2">
        <v>1</v>
      </c>
      <c r="H27" s="2">
        <v>1</v>
      </c>
      <c r="I27" s="4">
        <v>1</v>
      </c>
      <c r="J27" s="2">
        <v>0.5</v>
      </c>
      <c r="K27" s="2" t="b">
        <v>0</v>
      </c>
      <c r="L27" s="2">
        <v>1</v>
      </c>
      <c r="M27" s="2">
        <v>2</v>
      </c>
      <c r="N27" s="2">
        <v>0</v>
      </c>
    </row>
    <row r="28" spans="1:14" ht="378" x14ac:dyDescent="0.25">
      <c r="A28" s="2" t="s">
        <v>96</v>
      </c>
      <c r="B28" s="2" t="s">
        <v>87</v>
      </c>
      <c r="C28" s="2" t="s">
        <v>97</v>
      </c>
      <c r="D28" s="2" t="s">
        <v>98</v>
      </c>
      <c r="E28" s="2">
        <v>1</v>
      </c>
      <c r="F28" s="2">
        <v>1</v>
      </c>
      <c r="G28" s="2">
        <v>1</v>
      </c>
      <c r="H28" s="2">
        <v>1</v>
      </c>
      <c r="I28" s="4">
        <v>1</v>
      </c>
      <c r="J28" s="2">
        <v>1</v>
      </c>
      <c r="K28" s="2" t="b">
        <v>0</v>
      </c>
      <c r="L28" s="2">
        <v>1</v>
      </c>
      <c r="M28" s="2">
        <v>0</v>
      </c>
      <c r="N28" s="2">
        <v>0</v>
      </c>
    </row>
    <row r="29" spans="1:14" ht="294" x14ac:dyDescent="0.25">
      <c r="A29" s="2" t="s">
        <v>99</v>
      </c>
      <c r="B29" s="2" t="s">
        <v>87</v>
      </c>
      <c r="C29" s="2" t="s">
        <v>100</v>
      </c>
      <c r="D29" s="2" t="s">
        <v>101</v>
      </c>
      <c r="E29" s="2">
        <v>1</v>
      </c>
      <c r="F29" s="2">
        <v>1</v>
      </c>
      <c r="G29" s="2">
        <v>1</v>
      </c>
      <c r="H29" s="2">
        <v>1</v>
      </c>
      <c r="I29" s="4">
        <v>1</v>
      </c>
      <c r="J29" s="2">
        <v>1</v>
      </c>
      <c r="K29" s="2" t="b">
        <v>0</v>
      </c>
      <c r="L29" s="2">
        <v>1</v>
      </c>
      <c r="M29" s="2">
        <v>0</v>
      </c>
      <c r="N29" s="2">
        <v>0</v>
      </c>
    </row>
    <row r="30" spans="1:14" ht="406" x14ac:dyDescent="0.25">
      <c r="A30" s="2" t="s">
        <v>102</v>
      </c>
      <c r="B30" s="2" t="s">
        <v>87</v>
      </c>
      <c r="C30" s="2" t="s">
        <v>103</v>
      </c>
      <c r="D30" s="2" t="s">
        <v>104</v>
      </c>
      <c r="E30" s="2">
        <v>1</v>
      </c>
      <c r="F30" s="2">
        <v>1</v>
      </c>
      <c r="G30" s="2">
        <v>1</v>
      </c>
      <c r="H30" s="2">
        <v>1</v>
      </c>
      <c r="I30" s="4">
        <v>1</v>
      </c>
      <c r="J30" s="2">
        <v>1</v>
      </c>
      <c r="K30" s="2" t="b">
        <v>0</v>
      </c>
      <c r="L30" s="2">
        <v>3</v>
      </c>
      <c r="M30" s="2">
        <v>0</v>
      </c>
      <c r="N30" s="2">
        <v>0</v>
      </c>
    </row>
    <row r="31" spans="1:14" ht="409.5" x14ac:dyDescent="0.25">
      <c r="A31" s="2" t="s">
        <v>105</v>
      </c>
      <c r="B31" s="2" t="s">
        <v>87</v>
      </c>
      <c r="C31" s="2" t="s">
        <v>106</v>
      </c>
      <c r="D31" s="2" t="s">
        <v>107</v>
      </c>
      <c r="E31" s="2">
        <v>1</v>
      </c>
      <c r="F31" s="2">
        <v>1</v>
      </c>
      <c r="G31" s="2">
        <v>1</v>
      </c>
      <c r="H31" s="2">
        <v>1</v>
      </c>
      <c r="I31" s="4">
        <v>1</v>
      </c>
      <c r="J31" s="2">
        <v>1</v>
      </c>
      <c r="K31" s="2" t="b">
        <v>0</v>
      </c>
      <c r="L31" s="2">
        <v>3</v>
      </c>
      <c r="M31" s="2">
        <v>0</v>
      </c>
      <c r="N31" s="2">
        <v>0</v>
      </c>
    </row>
    <row r="32" spans="1:14" ht="409.5" x14ac:dyDescent="0.25">
      <c r="A32" s="2" t="s">
        <v>108</v>
      </c>
      <c r="B32" s="2" t="s">
        <v>87</v>
      </c>
      <c r="C32" s="2" t="s">
        <v>109</v>
      </c>
      <c r="D32" s="2" t="s">
        <v>110</v>
      </c>
      <c r="E32" s="2">
        <v>1</v>
      </c>
      <c r="F32" s="2">
        <v>1</v>
      </c>
      <c r="G32" s="2">
        <v>1</v>
      </c>
      <c r="H32" s="2">
        <v>1</v>
      </c>
      <c r="I32" s="4">
        <v>1</v>
      </c>
      <c r="J32" s="2">
        <v>0.66700000000000004</v>
      </c>
      <c r="K32" s="2" t="b">
        <v>0</v>
      </c>
      <c r="L32" s="2">
        <v>1</v>
      </c>
      <c r="M32" s="2">
        <v>0</v>
      </c>
      <c r="N32" s="2">
        <v>1</v>
      </c>
    </row>
    <row r="33" spans="1:15" ht="409.5" x14ac:dyDescent="0.25">
      <c r="A33" s="2" t="s">
        <v>111</v>
      </c>
      <c r="B33" s="2" t="s">
        <v>87</v>
      </c>
      <c r="C33" s="2" t="s">
        <v>112</v>
      </c>
      <c r="D33" s="2" t="s">
        <v>113</v>
      </c>
      <c r="E33" s="2">
        <v>1</v>
      </c>
      <c r="F33" s="2">
        <v>1</v>
      </c>
      <c r="G33" s="2">
        <v>1</v>
      </c>
      <c r="H33" s="2">
        <v>1</v>
      </c>
      <c r="I33" s="4">
        <v>1</v>
      </c>
      <c r="J33" s="2">
        <v>0.85699999999999998</v>
      </c>
      <c r="K33" s="2" t="b">
        <v>0</v>
      </c>
      <c r="L33" s="2">
        <v>3</v>
      </c>
      <c r="M33" s="2">
        <v>0</v>
      </c>
      <c r="N33" s="2">
        <v>1</v>
      </c>
    </row>
    <row r="34" spans="1:15" ht="409.5" x14ac:dyDescent="0.25">
      <c r="A34" s="2" t="s">
        <v>114</v>
      </c>
      <c r="B34" s="2" t="s">
        <v>87</v>
      </c>
      <c r="C34" s="2" t="s">
        <v>115</v>
      </c>
      <c r="D34" s="2" t="s">
        <v>116</v>
      </c>
      <c r="E34" s="2">
        <v>1</v>
      </c>
      <c r="F34" s="2">
        <v>1</v>
      </c>
      <c r="G34" s="2">
        <v>1</v>
      </c>
      <c r="H34" s="2">
        <v>1</v>
      </c>
      <c r="I34" s="4">
        <v>0.5</v>
      </c>
      <c r="J34" s="2">
        <v>1</v>
      </c>
      <c r="K34" s="2" t="b">
        <v>0</v>
      </c>
      <c r="L34" s="2">
        <v>3</v>
      </c>
      <c r="M34" s="2">
        <v>0</v>
      </c>
      <c r="N34" s="2">
        <v>0</v>
      </c>
    </row>
    <row r="35" spans="1:15" ht="294" x14ac:dyDescent="0.25">
      <c r="A35" s="2" t="s">
        <v>117</v>
      </c>
      <c r="B35" s="2" t="s">
        <v>87</v>
      </c>
      <c r="C35" s="2" t="s">
        <v>118</v>
      </c>
      <c r="D35" s="2" t="s">
        <v>119</v>
      </c>
      <c r="E35" s="2">
        <v>1</v>
      </c>
      <c r="F35" s="2">
        <v>1</v>
      </c>
      <c r="G35" s="2">
        <v>1</v>
      </c>
      <c r="H35" s="2">
        <v>1</v>
      </c>
      <c r="I35" s="4">
        <v>1</v>
      </c>
      <c r="J35" s="2">
        <v>0.66700000000000004</v>
      </c>
      <c r="K35" s="2" t="b">
        <v>0</v>
      </c>
      <c r="L35" s="2">
        <v>1</v>
      </c>
      <c r="M35" s="2">
        <v>0</v>
      </c>
      <c r="N35" s="2">
        <v>1</v>
      </c>
    </row>
    <row r="36" spans="1:15" ht="409.5" x14ac:dyDescent="0.25">
      <c r="A36" s="2" t="s">
        <v>120</v>
      </c>
      <c r="B36" s="2" t="s">
        <v>121</v>
      </c>
      <c r="C36" s="2" t="s">
        <v>122</v>
      </c>
      <c r="D36" s="2" t="s">
        <v>123</v>
      </c>
      <c r="E36" s="2">
        <v>1</v>
      </c>
      <c r="F36" s="2">
        <v>1</v>
      </c>
      <c r="G36" s="2">
        <v>1</v>
      </c>
      <c r="H36" s="2">
        <v>1</v>
      </c>
      <c r="I36" s="4">
        <v>1</v>
      </c>
      <c r="J36" s="2">
        <v>1</v>
      </c>
      <c r="K36" s="2" t="b">
        <v>0</v>
      </c>
      <c r="L36" s="2">
        <v>2</v>
      </c>
      <c r="M36" s="2">
        <v>0</v>
      </c>
      <c r="N36" s="2">
        <v>0</v>
      </c>
    </row>
    <row r="37" spans="1:15" ht="409.5" x14ac:dyDescent="0.25">
      <c r="A37" s="2" t="s">
        <v>124</v>
      </c>
      <c r="B37" s="2" t="s">
        <v>121</v>
      </c>
      <c r="C37" s="2" t="s">
        <v>125</v>
      </c>
      <c r="D37" s="2" t="s">
        <v>126</v>
      </c>
      <c r="E37" s="2">
        <v>1</v>
      </c>
      <c r="F37" s="2">
        <v>1</v>
      </c>
      <c r="G37" s="2">
        <v>1</v>
      </c>
      <c r="H37" s="2">
        <v>1</v>
      </c>
      <c r="I37" s="4">
        <v>0.75</v>
      </c>
      <c r="J37" s="2">
        <v>1</v>
      </c>
      <c r="K37" s="2" t="b">
        <v>0</v>
      </c>
      <c r="L37" s="2">
        <v>2</v>
      </c>
      <c r="M37" s="2">
        <v>0</v>
      </c>
      <c r="N37" s="2">
        <v>0</v>
      </c>
    </row>
    <row r="38" spans="1:15" ht="409.5" x14ac:dyDescent="0.25">
      <c r="A38" s="2" t="s">
        <v>127</v>
      </c>
      <c r="B38" s="2" t="s">
        <v>121</v>
      </c>
      <c r="C38" s="2" t="s">
        <v>128</v>
      </c>
      <c r="D38" s="2" t="s">
        <v>129</v>
      </c>
      <c r="E38" s="2">
        <v>1</v>
      </c>
      <c r="F38" s="2">
        <v>1</v>
      </c>
      <c r="G38" s="2">
        <v>1</v>
      </c>
      <c r="H38" s="2">
        <v>1</v>
      </c>
      <c r="I38" s="4">
        <v>0.66700000000000004</v>
      </c>
      <c r="J38" s="2">
        <v>0.85699999999999998</v>
      </c>
      <c r="K38" s="2" t="b">
        <v>0</v>
      </c>
      <c r="L38" s="2">
        <v>3</v>
      </c>
      <c r="M38" s="2">
        <v>0</v>
      </c>
      <c r="N38" s="2">
        <v>1</v>
      </c>
    </row>
    <row r="39" spans="1:15" ht="350" x14ac:dyDescent="0.25">
      <c r="A39" s="2" t="s">
        <v>130</v>
      </c>
      <c r="B39" s="2" t="s">
        <v>121</v>
      </c>
      <c r="C39" s="2" t="s">
        <v>131</v>
      </c>
      <c r="D39" s="2" t="s">
        <v>132</v>
      </c>
      <c r="E39" s="2">
        <v>1</v>
      </c>
      <c r="F39" s="2">
        <v>1</v>
      </c>
      <c r="G39" s="2">
        <v>1</v>
      </c>
      <c r="H39" s="2">
        <v>1</v>
      </c>
      <c r="I39" s="4">
        <v>0</v>
      </c>
      <c r="J39" s="2">
        <v>0</v>
      </c>
      <c r="K39" s="2" t="b">
        <v>0</v>
      </c>
      <c r="L39" s="2">
        <v>0</v>
      </c>
      <c r="M39" s="2">
        <v>0</v>
      </c>
      <c r="N39" s="2">
        <v>2</v>
      </c>
    </row>
    <row r="40" spans="1:15" ht="409.5" x14ac:dyDescent="0.25">
      <c r="A40" s="2" t="s">
        <v>133</v>
      </c>
      <c r="B40" s="2" t="s">
        <v>121</v>
      </c>
      <c r="C40" s="2" t="s">
        <v>134</v>
      </c>
      <c r="D40" s="2" t="s">
        <v>135</v>
      </c>
      <c r="E40" s="2">
        <v>1</v>
      </c>
      <c r="F40" s="2">
        <v>1</v>
      </c>
      <c r="G40" s="2">
        <v>1</v>
      </c>
      <c r="H40" s="2">
        <v>1</v>
      </c>
      <c r="I40" s="4">
        <v>1</v>
      </c>
      <c r="J40" s="2">
        <v>0.57099999999999995</v>
      </c>
      <c r="K40" s="2" t="b">
        <v>0</v>
      </c>
      <c r="L40" s="2">
        <v>2</v>
      </c>
      <c r="M40" s="2">
        <v>1</v>
      </c>
      <c r="N40" s="2">
        <v>2</v>
      </c>
    </row>
    <row r="41" spans="1:15" ht="409.5" x14ac:dyDescent="0.25">
      <c r="A41" s="2" t="s">
        <v>136</v>
      </c>
      <c r="B41" s="2" t="s">
        <v>121</v>
      </c>
      <c r="C41" s="2" t="s">
        <v>137</v>
      </c>
      <c r="D41" s="2" t="s">
        <v>138</v>
      </c>
      <c r="E41" s="2">
        <v>1</v>
      </c>
      <c r="F41" s="2">
        <v>1</v>
      </c>
      <c r="G41" s="2">
        <v>1</v>
      </c>
      <c r="H41" s="2">
        <v>1</v>
      </c>
      <c r="I41" s="4">
        <v>1</v>
      </c>
      <c r="J41" s="2">
        <v>0.8</v>
      </c>
      <c r="K41" s="2" t="b">
        <v>0</v>
      </c>
      <c r="L41" s="2">
        <v>2</v>
      </c>
      <c r="M41" s="2">
        <v>0</v>
      </c>
      <c r="N41" s="2">
        <v>1</v>
      </c>
    </row>
    <row r="42" spans="1:15" ht="409.5" x14ac:dyDescent="0.25">
      <c r="A42" s="2" t="s">
        <v>139</v>
      </c>
      <c r="B42" s="2" t="s">
        <v>121</v>
      </c>
      <c r="C42" s="2" t="s">
        <v>140</v>
      </c>
      <c r="D42" s="2" t="s">
        <v>141</v>
      </c>
      <c r="E42" s="2">
        <v>0</v>
      </c>
      <c r="F42" s="2">
        <v>0</v>
      </c>
      <c r="G42" s="2">
        <v>1</v>
      </c>
      <c r="H42" s="2">
        <v>0.2</v>
      </c>
      <c r="I42" s="4">
        <v>0.5</v>
      </c>
      <c r="J42" s="2">
        <v>0.8</v>
      </c>
      <c r="K42" s="2" t="b">
        <v>0</v>
      </c>
      <c r="L42" s="2">
        <v>4</v>
      </c>
      <c r="M42" s="2">
        <v>0</v>
      </c>
      <c r="N42" s="2">
        <v>2</v>
      </c>
    </row>
    <row r="43" spans="1:15" ht="409.5" x14ac:dyDescent="0.25">
      <c r="A43" s="2" t="s">
        <v>142</v>
      </c>
      <c r="B43" s="2" t="s">
        <v>121</v>
      </c>
      <c r="C43" s="2" t="s">
        <v>143</v>
      </c>
      <c r="D43" s="2" t="s">
        <v>144</v>
      </c>
      <c r="E43" s="2">
        <v>1</v>
      </c>
      <c r="F43" s="2">
        <v>1</v>
      </c>
      <c r="G43" s="2">
        <v>1</v>
      </c>
      <c r="H43" s="2">
        <v>1</v>
      </c>
      <c r="I43" s="4">
        <v>0.5</v>
      </c>
      <c r="J43" s="2">
        <v>0.8</v>
      </c>
      <c r="K43" s="2" t="b">
        <v>0</v>
      </c>
      <c r="L43" s="2">
        <v>2</v>
      </c>
      <c r="M43" s="2">
        <v>0</v>
      </c>
      <c r="N43" s="2">
        <v>1</v>
      </c>
    </row>
    <row r="44" spans="1:15" ht="112" x14ac:dyDescent="0.25">
      <c r="A44" s="2" t="s">
        <v>145</v>
      </c>
      <c r="B44" s="2" t="s">
        <v>146</v>
      </c>
      <c r="C44" s="2" t="s">
        <v>147</v>
      </c>
      <c r="D44" s="2" t="s">
        <v>132</v>
      </c>
      <c r="J44" s="2">
        <v>1</v>
      </c>
      <c r="K44" s="2" t="b">
        <v>1</v>
      </c>
      <c r="L44" s="2">
        <v>1</v>
      </c>
      <c r="M44" s="2">
        <v>0</v>
      </c>
      <c r="N44" s="2">
        <v>0</v>
      </c>
      <c r="O44" s="2" t="b">
        <v>1</v>
      </c>
    </row>
    <row r="45" spans="1:15" ht="409.5" x14ac:dyDescent="0.25">
      <c r="A45" s="2" t="s">
        <v>148</v>
      </c>
      <c r="B45" s="2" t="s">
        <v>146</v>
      </c>
      <c r="C45" s="2" t="s">
        <v>147</v>
      </c>
      <c r="D45" s="2" t="s">
        <v>149</v>
      </c>
      <c r="J45" s="2">
        <v>1</v>
      </c>
      <c r="K45" s="2" t="b">
        <v>1</v>
      </c>
      <c r="L45" s="2">
        <v>1</v>
      </c>
      <c r="M45" s="2">
        <v>0</v>
      </c>
      <c r="N45" s="2">
        <v>0</v>
      </c>
      <c r="O45" s="2" t="b">
        <v>1</v>
      </c>
    </row>
    <row r="46" spans="1:15" ht="308" x14ac:dyDescent="0.25">
      <c r="A46" s="2" t="s">
        <v>150</v>
      </c>
      <c r="B46" s="2" t="s">
        <v>146</v>
      </c>
      <c r="C46" s="2" t="s">
        <v>147</v>
      </c>
      <c r="D46" s="2" t="s">
        <v>151</v>
      </c>
      <c r="J46" s="2">
        <v>1</v>
      </c>
      <c r="K46" s="2" t="b">
        <v>1</v>
      </c>
      <c r="L46" s="2">
        <v>1</v>
      </c>
      <c r="M46" s="2">
        <v>0</v>
      </c>
      <c r="N46" s="2">
        <v>0</v>
      </c>
      <c r="O46" s="2" t="b">
        <v>1</v>
      </c>
    </row>
    <row r="47" spans="1:15" ht="210" x14ac:dyDescent="0.25">
      <c r="A47" s="2" t="s">
        <v>152</v>
      </c>
      <c r="B47" s="2" t="s">
        <v>146</v>
      </c>
      <c r="C47" s="2" t="s">
        <v>147</v>
      </c>
      <c r="D47" s="2" t="s">
        <v>132</v>
      </c>
      <c r="J47" s="2">
        <v>1</v>
      </c>
      <c r="K47" s="2" t="b">
        <v>1</v>
      </c>
      <c r="L47" s="2">
        <v>1</v>
      </c>
      <c r="M47" s="2">
        <v>0</v>
      </c>
      <c r="N47" s="2">
        <v>0</v>
      </c>
      <c r="O47" s="2" t="b">
        <v>1</v>
      </c>
    </row>
    <row r="48" spans="1:15" ht="98" x14ac:dyDescent="0.25">
      <c r="A48" s="2" t="s">
        <v>153</v>
      </c>
      <c r="B48" s="2" t="s">
        <v>146</v>
      </c>
      <c r="C48" s="2" t="s">
        <v>147</v>
      </c>
      <c r="D48" s="2" t="s">
        <v>132</v>
      </c>
      <c r="J48" s="2">
        <v>1</v>
      </c>
      <c r="K48" s="2" t="b">
        <v>1</v>
      </c>
      <c r="L48" s="2">
        <v>1</v>
      </c>
      <c r="M48" s="2">
        <v>0</v>
      </c>
      <c r="N48" s="2">
        <v>0</v>
      </c>
      <c r="O48" s="2" t="b">
        <v>1</v>
      </c>
    </row>
    <row r="49" spans="1:15" ht="98" x14ac:dyDescent="0.25">
      <c r="A49" s="2" t="s">
        <v>154</v>
      </c>
      <c r="B49" s="2" t="s">
        <v>146</v>
      </c>
      <c r="C49" s="2" t="s">
        <v>147</v>
      </c>
      <c r="D49" s="2" t="s">
        <v>132</v>
      </c>
      <c r="J49" s="2">
        <v>1</v>
      </c>
      <c r="K49" s="2" t="b">
        <v>1</v>
      </c>
      <c r="L49" s="2">
        <v>1</v>
      </c>
      <c r="M49" s="2">
        <v>0</v>
      </c>
      <c r="N49" s="2">
        <v>0</v>
      </c>
      <c r="O49" s="2" t="b">
        <v>1</v>
      </c>
    </row>
    <row r="50" spans="1:15" ht="409.5" x14ac:dyDescent="0.25">
      <c r="A50" s="2" t="s">
        <v>155</v>
      </c>
      <c r="B50" s="2" t="s">
        <v>146</v>
      </c>
      <c r="C50" s="2" t="s">
        <v>147</v>
      </c>
      <c r="D50" s="2" t="s">
        <v>156</v>
      </c>
      <c r="J50" s="2">
        <v>1</v>
      </c>
      <c r="K50" s="2" t="b">
        <v>1</v>
      </c>
      <c r="L50" s="2">
        <v>1</v>
      </c>
      <c r="M50" s="2">
        <v>0</v>
      </c>
      <c r="N50" s="2">
        <v>0</v>
      </c>
      <c r="O50" s="2" t="b">
        <v>1</v>
      </c>
    </row>
    <row r="51" spans="1:15" ht="126" x14ac:dyDescent="0.25">
      <c r="A51" s="2" t="s">
        <v>157</v>
      </c>
      <c r="B51" s="2" t="s">
        <v>146</v>
      </c>
      <c r="C51" s="2" t="s">
        <v>147</v>
      </c>
      <c r="D51" s="2" t="s">
        <v>132</v>
      </c>
      <c r="J51" s="2">
        <v>1</v>
      </c>
      <c r="K51" s="2" t="b">
        <v>1</v>
      </c>
      <c r="L51" s="2">
        <v>1</v>
      </c>
      <c r="M51" s="2">
        <v>0</v>
      </c>
      <c r="N51" s="2">
        <v>0</v>
      </c>
      <c r="O51" s="2" t="b">
        <v>1</v>
      </c>
    </row>
    <row r="53" spans="1:15" ht="28" x14ac:dyDescent="0.25">
      <c r="A53" s="2" t="s">
        <v>158</v>
      </c>
      <c r="E53" s="2">
        <f>AVERAGEIFS(E2:E51,K2:K51,FALSE)</f>
        <v>0.95238095238095233</v>
      </c>
      <c r="F53" s="2">
        <f>AVERAGEIFS(F2:F51,K2:K51,FALSE)</f>
        <v>0.95238095238095233</v>
      </c>
      <c r="G53" s="2">
        <f>AVERAGEIFS(G2:G51,K2:K51,FALSE)</f>
        <v>0.97619047619047616</v>
      </c>
      <c r="H53" s="2">
        <f>AVERAGEIFS(H2:H51,K2:K51,FALSE)</f>
        <v>0.95714285714285718</v>
      </c>
      <c r="I53" s="4">
        <f>AVERAGEIFS(I2:I51,K2:K51,FALSE)</f>
        <v>0.82738095238095233</v>
      </c>
      <c r="J53" s="2">
        <f>AVERAGE(J2:J51)</f>
        <v>0.8995399999999999</v>
      </c>
      <c r="L53" s="2">
        <f>AVERAGE(L2:L51)</f>
        <v>1.94</v>
      </c>
      <c r="M53" s="2">
        <f>AVERAGE(M2:M51)</f>
        <v>0.06</v>
      </c>
      <c r="N53" s="2">
        <f>AVERAGE(N2:N51)</f>
        <v>0.36</v>
      </c>
    </row>
    <row r="54" spans="1:15" ht="28" x14ac:dyDescent="0.25">
      <c r="A54" s="2" t="s">
        <v>159</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0.83333333333333337</v>
      </c>
      <c r="J54" s="2">
        <f>AVERAGEIF(B2:B51,"定义类",J2:J51)</f>
        <v>0.9547500000000001</v>
      </c>
      <c r="L54" s="2">
        <f>AVERAGEIF(B2:B51,"定义类",L2:L51)</f>
        <v>2.3333333333333335</v>
      </c>
      <c r="M54" s="2">
        <f>AVERAGEIF(B2:B51,"定义类",M2:M51)</f>
        <v>0</v>
      </c>
      <c r="N54" s="2">
        <f>AVERAGEIF(B2:B51,"定义类",N2:N51)</f>
        <v>0.25</v>
      </c>
    </row>
    <row r="55" spans="1:15" ht="42" x14ac:dyDescent="0.25">
      <c r="A55" s="2" t="s">
        <v>160</v>
      </c>
      <c r="B55" s="2" t="s">
        <v>53</v>
      </c>
      <c r="E55" s="2">
        <f>AVERAGEIFS(E2:E51,B2:B51,"方法细节类",K2:K51,FALSE)</f>
        <v>1</v>
      </c>
      <c r="F55" s="2">
        <f>AVERAGEIFS(F2:F51,B2:B51,"方法细节类",K2:K51,FALSE)</f>
        <v>1</v>
      </c>
      <c r="G55" s="2">
        <f>AVERAGEIFS(G2:G51,B2:B51,"方法细节类",K2:K51,FALSE)</f>
        <v>1</v>
      </c>
      <c r="H55" s="2">
        <f>AVERAGEIFS(H2:H51,B2:B51,"方法细节类",K2:K51,FALSE)</f>
        <v>1</v>
      </c>
      <c r="I55" s="4">
        <f>AVERAGEIFS(I2:I51,B2:B51,"方法细节类",K2:K51,FALSE)</f>
        <v>0.80300000000000005</v>
      </c>
      <c r="J55" s="2">
        <f>AVERAGEIF(B2:B51,"方法细节类",J2:J51)</f>
        <v>0.90918181818181809</v>
      </c>
      <c r="L55" s="2">
        <f>AVERAGEIF(B2:B51,"方法细节类",L2:L51)</f>
        <v>2.1818181818181817</v>
      </c>
      <c r="M55" s="2">
        <f>AVERAGEIF(B2:B51,"方法细节类",M2:M51)</f>
        <v>0</v>
      </c>
      <c r="N55" s="2">
        <f>AVERAGEIF(B2:B51,"方法细节类",N2:N51)</f>
        <v>0.27272727272727271</v>
      </c>
    </row>
    <row r="56" spans="1:15" ht="42" x14ac:dyDescent="0.25">
      <c r="A56" s="2" t="s">
        <v>161</v>
      </c>
      <c r="B56" s="2" t="s">
        <v>87</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0.95454545454545459</v>
      </c>
      <c r="J56" s="2">
        <f>AVERAGEIF(B2:B51,"实验结果类",J2:J51)</f>
        <v>0.88099999999999989</v>
      </c>
      <c r="L56" s="2">
        <f>AVERAGEIF(B2:B51,"实验结果类",L2:L51)</f>
        <v>1.8181818181818181</v>
      </c>
      <c r="M56" s="2">
        <f>AVERAGEIF(B2:B51,"实验结果类",M2:M51)</f>
        <v>0.18181818181818182</v>
      </c>
      <c r="N56" s="2">
        <f>AVERAGEIF(B2:B51,"实验结果类",N2:N51)</f>
        <v>0.27272727272727271</v>
      </c>
    </row>
    <row r="57" spans="1:15" ht="42" x14ac:dyDescent="0.25">
      <c r="A57" s="2" t="s">
        <v>162</v>
      </c>
      <c r="B57" s="2" t="s">
        <v>121</v>
      </c>
      <c r="E57" s="2">
        <f>AVERAGEIFS(E2:E51,B2:B51,"跨论文比较类",K2:K51,FALSE)</f>
        <v>0.875</v>
      </c>
      <c r="F57" s="2">
        <f>AVERAGEIFS(F2:F51,B2:B51,"跨论文比较类",K2:K51,FALSE)</f>
        <v>0.875</v>
      </c>
      <c r="G57" s="2">
        <f>AVERAGEIFS(G2:G51,B2:B51,"跨论文比较类",K2:K51,FALSE)</f>
        <v>1</v>
      </c>
      <c r="H57" s="2">
        <f>AVERAGEIFS(H2:H51,B2:B51,"跨论文比较类",K2:K51,FALSE)</f>
        <v>0.9</v>
      </c>
      <c r="I57" s="4">
        <f>AVERAGEIFS(I2:I51,B2:B51,"跨论文比较类",K2:K51,FALSE)</f>
        <v>0.67712499999999998</v>
      </c>
      <c r="J57" s="2">
        <f>AVERAGEIF(B2:B51,"跨论文比较类",J2:J51)</f>
        <v>0.72849999999999993</v>
      </c>
      <c r="L57" s="2">
        <f>AVERAGEIF(B2:B51,"跨论文比较类",L2:L51)</f>
        <v>2.125</v>
      </c>
      <c r="M57" s="2">
        <f>AVERAGEIF(B2:B51,"跨论文比较类",M2:M51)</f>
        <v>0.125</v>
      </c>
      <c r="N57" s="2">
        <f>AVERAGEIF(B2:B51,"跨论文比较类",N2:N51)</f>
        <v>1.125</v>
      </c>
    </row>
    <row r="58" spans="1:15" ht="42" x14ac:dyDescent="0.25">
      <c r="A58" s="2" t="s">
        <v>163</v>
      </c>
      <c r="B58" s="2" t="s">
        <v>146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2026-06-03T11:22:41Z</dcterms:created>
  <dcterms:modified xsi:type="dcterms:W3CDTF">2026-06-03T12:19:43Z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a600f620-3a1a-4779-a0fa-4ea0e5769f6e</vt:lpwstr>
  </property>
</Properties>
</file>