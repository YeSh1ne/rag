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FE161240-2C9D-4C6E-A59C-DDA96804C38D}"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<sst xmlns="http://schemas.openxmlformats.org/spreadsheetml/2006/main" count="226" uniqueCount="162">
  <si>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</si>
  <si>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</si>
  <si>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</si>
  <si>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</si>
  <si>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</si>
  <si>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</si>
  <si>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</si>
  <si>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</si>
  <si>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</si>
  <si>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</si>
  <si>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</si>
  <si>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</si>
  <si>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</si>
  <si>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</si>
  <si>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</si>
  <si>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</si>
  <si>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</si>
  <si>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</si>
  <si>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</si>
  <si>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</si>
  <si>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</si>
  <si>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</si>
  <si>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</si>
  <si>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</si>
  <si>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</si>
  <si>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</si>
  <si>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</si>
  <si>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</si>
  <si>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</si>
  <si>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</si>
  <si>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</si>
  <si>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</si>
  <si>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</si>
  <si>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</si>
  <si>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</si>
  <si>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</si>
  <si>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</si>
  <si>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</si>
  <si>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方法细节类</t>
  </si>
  <si>
    <t>作者发现，仅使用标准的、短上下文的指令数据集（如 UltraChat）进行微调，就能在长上下文任务上取得最佳效果。</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</si>
  <si>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</si>
  <si>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</si>
  <si>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</si>
  <si>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</si>
  <si>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</si>
  <si>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</si>
  <si>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</si>
  <si>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</si>
  <si>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</si>
  <si>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</si>
  <si>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</si>
  <si>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</si>
  <si>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</si>
  <si>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</si>
  <si>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</si>
  <si>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</si>
  <si>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</si>
  <si>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</si>
  <si>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</si>
  <si>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</si>
  <si>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</si>
  <si>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</si>
  <si>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</si>
  <si>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</si>
  <si>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</si>
  <si>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</si>
  <si>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</si>
  <si>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</si>
  <si>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</si>
  <si>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</si>
  <si>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</si>
  <si>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</si>
  <si>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</si>
  <si>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</si>
  <si>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</si>
  <si>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</si>
  <si>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</si>
  <si>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</si>
  <si>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</si>
  <si>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</si>
  <si>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</si>
  <si>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</si>
  <si>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</si>
  <si>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</si>
  <si>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</si>
  <si>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</si>
  <si>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</si>
  <si>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</si>
  <si>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</si>
  <si>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</si>
  <si>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</si>
  <si>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</si>
  <si>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</si>
  <si>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</si>
  <si>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</si>
  <si>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采用训练无关的多智能体协同过滤与自适应阈值机制，通过多个 LLM 智能体对检索文档进行评分和筛选，动态调整相关性阈值以降低噪声。RAG‑Critic 则构建数据驱动的层次化错误体系，训练错误批评模型，并利用批评引导的智能体工作流进行错误驱动的纠正，自动定制解决方案流程。
来自: [2025.acl-long.131_MAIN-RAG, 第1页, 2025.acl-long.131_MAIN-RAG_chunk_004] 来自: [2025.acl-long.179_RAG-Critic, 第9页, 2025.acl-long.179_RAG-Critic_chunk_020]</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</si>
  <si>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</si>
  <si>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</si>
  <si>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</si>
  <si>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</si>
  <si>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</si>
  <si>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</si>
  <si>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</si>
  <si>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</si>
  <si>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</si>
  <si>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</si>
  <si>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</si>
  <si>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</si>
  <si>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</si>
  <si>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</si>
  <si>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</si>
  <si>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</si>
  <si>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</si>
  <si>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</si>
  <si>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</si>
  <si>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在论文"A Survey of Post-Training Scaling in Large Language Models"中，作者将post-training scaling分为哪三个主要方法？</t>
    <phoneticPr fontId="2" type="noConversion"/>
  </si>
  <si>
    <t>RAG噪声被分为哪两类？</t>
    <phoneticPr fontId="2" type="noConversion"/>
  </si>
  <si>
    <t>在"Astute RAG"中，作者提出的knowledge consolidation过程包含哪三个主要步骤？</t>
    <phoneticPr fontId="2" type="noConversion"/>
  </si>
  <si>
    <t>LongRefiner 在推理时如何降低在线延迟？</t>
    <phoneticPr fontId="2" type="noConversion"/>
  </si>
  <si>
    <t>在How to Train Long-Context Language Models中的监督微调（SFT）阶段，论文作者发现使用哪种类型的数据集能够在长上下文任务上取得最佳性能？</t>
    <phoneticPr fontId="2" type="noConversion"/>
  </si>
  <si>
    <t>作者将post-training scaling分为三个主要方法：Supervised Fine-tuning（监督微调）、Reinforcement Learning（强化学习）和Test-time Compute（测试时计算）。
来自: [A Survey of Post-Training Scaling in Large Language Models, 第2页, A Survey of Post-Training Scaling in Large Language Models_chunk_005]</t>
  </si>
  <si>
    <t>在SafeRAG中，"silver noise"是指包含部分但不完整答案的噪声。
来自: [SafeRAG: Benchmarking Security in Retrieval-Augmented Generation of Large Language Model, 第4页, SafeRAG: Benchmarking Security in Retrieval-Augmented Generation of Large Language Model_chunk_009]</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</si>
  <si>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Models_chunk_005]</t>
  </si>
  <si>
    <t>Ref-Long（Referencing Evaluation for Long-context Language Models）是一个专为评估长上下文语言模型（LCLMs）的长上下文引用能力而设计的新基准。它要求模型在给定多个索引文档和一个查询时，不仅检索出特定的键，还要识别出所有引用该键的文档索引，从而考察模型对键与上下文关系的真正理解，而非简单的检索。
来自: [Ref-Long: Benchmarking the Long-context Referencing Capability of Long-context Language Models, 第1页, Ref-Long: Benchmarking the Long-context Referencing Capability of Long-context Language Models_chunk_000] 和 [Ref-Long: Benchmarking the Long-context Referencing Capability of Long-context Language Models, 第1页, Ref-Long: Benchmarking the Long-context Referencing Capability of Long-context Language Models_chunk_001]</t>
  </si>
  <si>
    <t>SYNQA是一种生成式策略，通过给定上下文句子让大语言模型生成受其支持的问题-答案对来合成上下文归因数据。
来自: [On Synthesizing Data for Context Attribution in Question Answering, 第1页, On Synthesizing Data for Context Attribution in Question Answering_chunk_001]</t>
  </si>
  <si>
    <t>AgenticLU是一个旨在通过将有针对性的自我澄清与上下文 grounding 集成到智能体工作流中，增强大语言模型对长上下文查询理解的框架。
来自: [Self-Taught Agentic Long-Context Understanding, 第1页, Self-Taught Agentic Long-Context Understanding_chunk_000]</t>
  </si>
  <si>
    <t>Agentic Reasoning是一个通过集成外部基于LLM的代理作为工具来增强推理的框架，允许LLM在推理过程中将特定任务委托给辅助代理。
来自: [Agentic Reasoning: A Streamlined Framework for Enhancing LLM Reasoning with Agentic Tools, 第2页, Agentic Reasoning: A Streamlined Framework for Enhancing LLM Reasoning with Agentic Tools_chunk_003]</t>
  </si>
  <si>
    <t>在Humanity's Last Exam上，Agentic Reasoning与DeepSeek-R1结合后准确率达到23.8%，相比基础模型DeepSeek-R1的9.4%提升了14.4个百分点。与OpenAI Deep Research的差距从原来的17.2%大幅缩小至仅2.8%。
来自: [Agentic Reasoning: A Streamlined Framework for Enhancing LLM Reasoning with Agentic Tools, 第1页, Agentic Reasoning: A Streamlined Framework for Enhancing LLM Reasoning with Agentic Tools_chunk_002]</t>
  </si>
  <si>
    <t>在GAIA基准测试中，Agentic Reasoning在Level 1、Level 2、Level 3上的得分分别为74.36、69.21、45.46，平均分66.13，在所有公开方法中达到最优。它在Level 1和Level 2上超越了OpenAI的Deep Research，在Level 3上将差距缩小至2.26%。
来自: [Agentic Reasoning: A Streamlined Framework for Enhancing LLM Reasoning with Agentic Tools, 第5页, Agentic Reasoning: A Streamlined Framework for Enhancing LLM Reasoning with Agentic Tools_chunk_010]</t>
  </si>
  <si>
    <t>AR-MCTS 的核心机制是主动检索（Active Retrieval）与蒙特卡洛树搜索（Monte Carlo Tree Search, MCTS）的结合；Agentic Reasoning 的核心机制是整合思维导图（Mind-Map）、网络搜索（web search）和代码执行（coding）。
来自: [2025.acl-long.180_Progressive Multimodal Reasoning via Active Retrieval, 第1页, 2025.acl-long.180_Progressive Multimodal Reasoning via Active Retrieval_chunk_000]
来自: [Agentic Reasoning: A Streamlined Framework for Enhancing LLM Reasoning with Agentic Tools, 第8页, Agentic Reasoning: A Streamlined Framework for Enhancing LLM Reasoning with Agentic Tools_chunk_017]</t>
  </si>
  <si>
    <t>REAL-MM-RAG 基准测试旨在解决的四个关键属性是：(i) 多模态文档，(ii) 增强的难度，(iii) 真实 RAG 查询，以及 (iv) 准确的标注。
来自: [REAL-MM-RAG:AReal-World Multi-Modal Retrieval Benchmark, 第1页, REAL-MM-RAG:AReal-World Multi-Modal Retrieval Benchmark_chunk_000]</t>
  </si>
  <si>
    <t>ASTUTE RAG是一种新颖的RAG方法，旨在对不完美的检索增强具有弹性，同时在检索可靠时保留RAG的接地效果。它用于有效区分LLM内部知识与外部检索段落中的一致和冲突信息，评估其可靠性，并确保可信信息的正确整合，从而缓解知识冲突并提高响应的鲁棒性。
来自: [ASTUTE RAG: Overcoming Imperfect Retrieval Augmentation and Knowledge Conflicts for Large Language Models, 第2页, ASTUTE RAG: Overcoming Imperfect Retrieval Augmentation and Knowledge Conflicts for Large Language Models_chunk_004]</t>
  </si>
  <si>
    <t>knowledge consolidation过程包含三个主要步骤：识别跨段落的一致信息、检测一致信息组之间的冲突信息、过滤无关信息。
来自: [ASTUTE RAG: Overcoming Imperfect Retrieval Augmentation and Knowledge Conflicts for Large Language Models, 第5页, ASTUTE RAG: Overcoming Imperfect Retrieval Augmentation and Knowledge Conflicts for Large Language Models_chunk_011]</t>
  </si>
  <si>
    <t>L-CiteEval是一个开箱即用的评估套件，用于评估长上下文模型在长上下文理解任务中的生成质量和忠实度。
来自: [L-CiteEval: A Suite for Evaluating Fidelity of Long-context Models, 第1页, L-CiteEval: A Suite for Evaluating Fidelity of Long-context Models_chunk_000]</t>
  </si>
  <si>
    <t>LongBench v2基准测试包含503个多项选择题，上下文长度范围从8k到2M words。
来自: [LongBench v2: Towards Deeper Understanding and Reasoning on Realistic Long-context Multitasks, 第1页, LongBench v2: Towards Deeper Understanding and Reasoning on Realistic Long-context Multitasks_chunk_002]</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</si>
  <si>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</si>
  <si>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RHIO框架的三个主要组成部分是：不忠实数据增强（Unfaithful Data Augmentation）、忠实性感知微调（Faithfulness-Aware Tuning）和自我诱导解码（Self-Induced Decoding）。
来自: [Improving Contextual Faithfulness of Large Language Models via Retrieval Heads-Induced Optimization, 第15页, Improving Contextual Faithfulness of Large Language Models via Retrieval Heads-Induced Optimization_chunk_030]</t>
  </si>
  <si>
    <t>SYNQA 通过使用维基百科句子，提示大语言模型生成完全由这些句子支持的问题-答案对，从而合成归因训练数据。RHIO 则通过选择性遮蔽检索头来生成模拟模型内在错误的不忠实样本，并将这些样本用于联合训练，使模型能够区分忠实与不忠实的输出。
在提升模型归因能力上，SYNQA 直接为归因任务合成高质量的问题-答案对及其支持句，用于微调小型归因模型，从而提升句子级归因的准确性和泛化能力。RHIO 并不直接生成归因数据，而是通过构造不忠实样本进行对比学习，增强大语言模型自身的上下文忠实度，间接改善模型在生成回答时对上下文的忠实归因能力。
来自: [On Synthesizing Data for Context Attribution in Question Answering, 第2页, On Synthesizing Data for Context Attribution in Question Answering_chunk_003]
来自: [Improving Contextual Faithfulness of Large Language Models via Retrieval Heads-Induced Optimization, 第1页, Improving Contextual Faithfulness of Large Language Models via Retrieval Heads-Induced Optimization_chunk_001]</t>
  </si>
  <si>
    <t>作者发现，使用标准的短上下文指令数据集（standard, short-context instruction datasets）进行监督微调即可在长上下文任务上取得最佳性能，而长合成指令数据并未带来进一步提升。
来自: [How to Train Long-Context Language Models (Effectively), 第1页, How to Train Long-Context Language Models (Effectively)_chunk_002]</t>
  </si>
  <si>
    <t>LongRefiner 将推理过程拆分为离线和在线两个阶段：离线阶段预先对语料库中的文档执行层次化文档结构化任务，在线阶段仅需对用户查询进行分析并执行自适应精炼以生成最终输出。由于在线阶段只需处理数百个输入 token 并生成数十个输出 token，整体延迟仅为标准设置的约 25%。
来自: [Hierarchical Document Refinement for Long-context Retrieval-augmented Generation, 第6页, Hierarchical Document Refinement for Long-context Retrieval-augmented Generation_chunk_013]</t>
  </si>
  <si>
    <t>DRAG框架通过本地小模型对用户查询进行改写，剥离敏感信息后发送至云端大模型，云端仅返回证据和知识图谱，再由本地模型生成最终答案，从而避免用户隐私数据上传至云端。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 和 [DRAG: Distilling RAG for SLMs from LLMs to Transfer Knowledge and Mitigate Hallucination via Evidence and Graph-based Distillation, 第1页, DRAG: Distilling RAG for SLMs from LLMs to Transfer Knowledge and Mitigate Hallucination via Evidence and Graph-based Distillation_chunk_001]</t>
  </si>
  <si>
    <t>SG-MCTS（自引导蒙特卡洛树搜索）将归因文本生成视为多步推理问题，每次迭代包含四个步骤：**选择**（用UCT算法选出最优节点）、**反思引导的扩展**（通过“思考-表达-引用”范式生成下一句，并利用LLM的自我反思能力实时批评和优化中间状态，避免错误路径）、**评估**（用进度奖励模型从生成进度和归因进度两方面计算奖励）以及**反向传播**（将奖励沿路径回传更新节点值）。
来自: [Think&amp;Cite: Improving Attributed Text Generation with Self-Guided Tree Search and Progress Reward Modeling, 第3页, Think&amp;Cite: Improving Attributed Text Generation with Self-Guided Tree Search and Progress Reward Modeling_chunk_006]、[Think&amp;Cite: Improving Attributed Text Generation with Self-Guided Tree Search and Progress Reward Modeling, 第4页, Think&amp;Cite: Improving Attributed Text Generation with Self-Guided Tree Search and Progress Reward Modeling_chunk_008]、[Think&amp;Cite: Improving Attributed Text Generation with Self-Guided Tree Search and Progress Reward Modeling, 第7页, Think&amp;Cite: Improving Attributed Text Generation with Self-Guided Tree Search and Progress Reward Modeling_chunk_021]</t>
  </si>
  <si>
    <t>SETR 的段落选择提示引导的关键过程包含三个步骤：  
1. 列举回答查询所需的关键信息需求；  
2. 为每个信息需求找出包含相关信息的段落；  
3. 选择一组段落，使其共同提供最全面、多样化的信息覆盖，以有效回答查询。  
来自: [Shifting from Ranking to Set Selection for Retrieval Augmented Generation, 第3页, Shifting from Ranking to Set Selection for Retrieval Augmented Generation_chunk_006]  
来自: [Shifting from Ranking to Set Selection for Retrieval Augmented Generation, 第4页, Shifting from Ranking to Set Selection for Retrieval Augmented Generation_chunk_008]</t>
  </si>
  <si>
    <t>α参数的最优范围是 0.65 到 0.8。它的作用是在工具检索中平衡工具描述与参数描述的权重，从而优化检索命中率。
来自: [Meta-Tool: Unleash Open-World Function Calling Capabilities of General-Purpose Large Language Models, 第20页, Meta-Tool: Unleash Open-World Function Calling Capabilities of General-Purpose Large Language Models_chunk_033]</t>
  </si>
  <si>
    <t>CypherBench 通过将 RDF 图转换为多个领域特定的属性图，这些属性图作为底层 RDF 图的物化视图，通过执行 SPARQL 查询并聚合结果来生成，而非处理整个 RDF 转储；转换层同时负责数据类型转换和单位标准化，产出模式强制、严格类型化的数据。
来自: [CYPHERBENCH: Towards Precise Retrieval over Full-scale Modern Knowledge Graphs in the LLM Era, 第4页, CYPHERBENCH: Towards Precise Retrieval over Full-scale Modern Knowledge Graphs in the LLM Era_chunk_007]</t>
  </si>
  <si>
    <t>ClinRaGen的三阶段理由蒸馏范式是：第一阶段从医疗笔记中蒸馏理由，让SLM建立对文本临床信息的基础理解；第二阶段引入知识增强注意力，将数值实验室测试与结构化医学知识对齐，以蒸馏基于实验室测试的理由；第三阶段完全整合文本和数值输入，使SLM生成临床连贯的多模态理由来支持疾病诊断。
来自: [Knowledge-Augmented Multimodal Clinical Rationale Generation for Disease Diagnosis with Small Language Models, 第4页, Knowledge-Augmented Multimodal Clinical Rationale Generation for Disease Diagnosis with Small Language Models_chunk_008]</t>
  </si>
  <si>
    <t>QAEncoder采用查询中心的方法，通过为每个文档生成多样化的查询（如5W1H），并用蒙特卡洛方法估计这些潜在查询的聚类中心，以该聚类中心替代原始文档嵌入，从而在语义上对齐用户查询，弥合文档-查询差距。同时，为避免文档表示因趋同而丧失区分度，引入文档指纹策略，将文档独特身份重新注入表示中，实现高性能检索。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t>
  </si>
  <si>
    <t>QAEncoder侧重于优化检索阶段，核心痛点是文档与查询之间的语义差距（document-query gap），导致密集检索难以准确匹配用户查询。  
On Synthesizing Data for Context Attribution in Question Answering侧重于优化归因阶段，核心痛点是缺乏大规模人工标注的归因数据，导致训练可靠的上下文归因模型成本高昂且泛化性不足。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  
来自: [On Synthesizing Data for Context Attribution in Question Answering, 第9页, On Synthesizing Data for Context Attribution in Question Answering_chunk_024]  
来自: [On Synthesizing Data for Context Attribution in Question Answering, 第9页, On Synthesizing Data for Context Attribution in Question Answering_chunk_023]</t>
  </si>
  <si>
    <t>在 HALOGEN 的文本简化任务中，验证过程与摘要任务相同：先用 GPT-3.5 将模型生成的简化文本分解为独立事实，再用 Llama-2-70B 对每个原子事实进行蕴含判断，以确认其是否忠实于原文。
来自: [HALOGEN :FantasticLLMHallucinations and Where to Find Them, 第3页, HALOGEN :FantasticLLMHallucinations and Where to Find Them_chunk_006]</t>
  </si>
  <si>
    <t>在 HALoGEN 基准测试中，表现最好的 LLM（GPT-4）的幻觉率范围是 3% 到 86%，具体取决于任务。
来自: [HALOGEN :FantasticLLMHallucinations and Where to Find Them, 第1页, HALOGEN :FantasticLLMHallucinations and Where to Find Them_chunk_001]</t>
  </si>
  <si>
    <t>在Cited scenario下，GPT-4o表现最佳，而Llama-3-70B与GPT-4o-mini性能相当；在Full scenario下，Llama-3-70B则优于GPT-4o，取得了最好的表现。
来自: [CiteEval: Principle-Driven Citation Evaluation for Source Attribution, 第7页, CiteEval: Principle-Driven Citation Evaluation for Source Attribution_chunk_018]</t>
  </si>
  <si>
    <t>FaithfulRAG 在 FaithEval 数据集上使用 Mistral-7B 作为 backbone 时的准确率为 81.7%，相比最强基线（KRE 的 73.2%）提高了 8.5%。
来自: [FaithfulRAG: Fact-Level Conflict Modeling for Context-Faithful Retrieval-Augmented Generation, 第7页, FaithfulRAG: Fact-Level Conflict Modeling for Context-Faithful Retrieval-Augmented Generation_chunk_019]</t>
  </si>
  <si>
    <t>《Astute RAG》采用“自适应内部知识生成”（adaptive generation of internal knowledge）机制，通过迭代方式从LLM内部动态生成关键信息。  
《FaithfulRAG》则采用“Self-Fact Mining”模块，通过“Self-Knowledge Extraction → Self-Context Generation → Self-Fact Extraction”的三阶段层次化过程，将LLM的参数化知识外化为细粒度的事实表示。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</si>
  <si>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相比 vanilla RAG 模型在平均准确率上提升了约 2.5%，这表明 RankCoT 能够对检索到的知识进行更有效的精炼，生成保留关键信息的思维链，从而帮助大语言模型更准确地回答问题，同时避免了原始段落被重复输入带来的开销。
来自: [RankCoT: Refining Knowledge for Retrieval-Augmented Generation through Ranking Chain-of-Thoughts, 第6页, RankCoT: Refining Knowledge for Retrieval-Augmented Generation through Ranking Chain-of-Thoughts_chunk_018] 和 [RankCoT: Refining Knowledge for Retrieval-Augmented Generation through Ranking Chain-of-Thoughts, 第12页, RankCoT: Refining Knowledge for Retrieval-Augmented Generation through Ranking Chain-of-Thoughts_chunk_026]</t>
  </si>
  <si>
    <t>AGENTSTAR 在 WebShop、ALFWorld 和 BabyAI 任务上分别比 GPT-4-Turbo 高出 61.00、20.50 和 9.87 分。
来自: [AGENTGYM: Evaluating and Training Large Language Model-based Agents across Diverse Environments, 第7页, AGENTGYM: Evaluating and Training Large Language Model-based Agents across Diverse Environments_chunk_020]</t>
  </si>
  <si>
    <t>LongBench v2 是一个静态评估基准，专注于测试大模型在长上下文（8k–2M词）下的深度理解与推理能力，覆盖单文档/多文档问答、长上下文学习、长对话历史、代码仓库和长结构化数据等现实多任务场景。  
AGENTGYM 则是一个交互式框架，提供7个真实世界场景、14个环境和89个任务，支持多轮决策、实时反馈与自我改进，用于构建和训练能够跨环境执行任务的通用智能体。
两者的核心区别在于：LongBench v2 用于一次性评估模型的长文本理解水平，不涉及交互或学习过程；AGENTGYM 用于在动态环境中训练和评估智能体的多步决策与自我进化能力。
来自: [LongBench v2: Towards Deeper Understanding and Reasoning on Realistic Long-context Multitasks, 第1页, LongBench v2: Towards Deeper Understanding and Reasoning on Realistic Long-context Multitasks_chunk_002]  
来自: [LongBench v2: Towards Deeper Understanding and Reasoning on Realistic Long-context Multitasks, 第1页, LongBench v2: Towards Deeper Understanding and Reasoning on Realistic Long-context Multitasks_chunk_000]  
来自: [AGENTGYM: Evaluating and Training Large Language Model-based Agents across Diverse Environments, 第1页, AGENTGYM: Evaluating and Training Large Language Model-based Agents across Diverse Environments_chunk_001]</t>
  </si>
  <si>
    <t>人类医生在所有专科的诊断准确性上均优于Med-MLLMs。例如，初级医生的平均准确率为57.4%，而表现最好的Med-MLLM GPT-4V仅为54.3%。GPT-4V与初级医生表现接近，有潜力辅助诊断，但所有Med-MLLMs的平均准确率均低于人类医生。
来自: [Asclepius: A Spectrum Evaluation Benchmark for Medical Multi-Modal Large Language Models, 第7页, Asclepius: A Spectrum Evaluation Benchmark for Medical Multi-Modal Large Language Models_chunk_016] 和 [Asclepius: A Spectrum Evaluation Benchmark for Medical Multi-Modal Large Language Models, 第6页, Asclepius: A Spectrum Evaluation Benchmark for Medical Multi-Modal Large Language Models_chunk_013]</t>
  </si>
  <si>
    <t>在LongDocURL基准测试中，GPT-4o得分64.5，是最高分且唯一达到及格标准的模型。开源模型中，只有Qwen2-VL（得分30.6）和LLaVA-OneVision（得分22.0和25.0）得分超过20。
来自: [LongDocURL: a Comprehensive Multimodal Long Document Benchmark Integrating Understanding, Reasoning, and Locating, 第6页, LongDocURL: a Comprehensive Multimodal Long Document Benchmark Integrating Understanding, Reasoning, and Locating_chunk_013]</t>
  </si>
  <si>
    <t>RAGEval 使用 LLM 对提出的指标进行评分，与人工评估表现出高度一致性。
来自: [RAGEval: Scenario Specific RAG Evaluation Dataset Generation Framework, 第1页, RAGEval: Scenario Specific RAG Evaluation Dataset Generation Framework_chunk_000]</t>
  </si>
  <si>
    <t>UniRAG 的核心创新在于将查询增强与编码统一到一个解码器模型中，消除任务分离，并能够根据用户查询自适应选择最优增强策略（如查询改写、扩展、抽象）。FaithfulRAG 的核心创新则聚焦于生成阶段，在事实层面显式识别并解决模型参数知识与检索上下文之间的知识冲突，通过自事实对齐和自思考模块实现忠实生成。  
来自: [UniRAG: Unified Query Understanding Method for Retrieval Augmented Generation, 第1页, UniRAG: Unified Query Understanding Method for Retrieval Augmented Generation_chunk_000]  
来自: [FaithfulRAG: Fact-Level Conflict Modeling for Context-Faithful Retrieval-Augmented Generation, 第9页, FaithfulRAG: Fact-Level Conflict Modeling for Context-Faithful Retrieval-Augmented Generation_chunk_025]</t>
  </si>
  <si>
    <t>MEMERAG和DragonBall都是用于RAG系统评估的基准，但存在明显差异。  
**相同点**：两者均提供多语言支持（MEMERAG覆盖5种语言，DragonBall覆盖中英文），并都包含基于人类判断或自动指标的评估框架。  
**不同点**：  
- **构建方式**：MEMERAG基于原生语言的MIRACL数据集扩展，通过人工标注答案质量；DragonBall由RAGEval框架自动生成，通过迭代优化答案与关键点。  
- **领域**：MEMERAG为通用领域（Wikipedia），DragonBall专注于金融、法律、医疗三个领域。  
- **评估维度**：MEMERAG关注**Faithfulness（忠实度）**和**Relevance（相关性）**；DragonBall关注**Completeness（完整性）、Hallucination（幻觉）和Irrelevance（不相关性）**。
来自: [MEMERAG:AMultilingual End-to-End Meta-Evaluation Benchmark for Retrieval Augmented Generation, 第3页, MEMERAG:AMultilingual End-to-End Meta-Evaluation Benchmark for Retrieval Augmented Generation_chunk_007]  
来自: [RAGEval: Scenario Specific RAG Evaluation Dataset Generation Framework, 第2页, RAGEval: Scenario Specific RAG Evaluation Dataset Generation Framework_chunk_002]  
来自: [RAGEval: Scenario Specific RAG Evaluation Dataset Generation Framework, 第4页, RAGEval: Scenario Specific RAG Evaluation Dataset Generation Framework_chunk_008]</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</si>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</sst>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zoomScale="115" zoomScaleNormal="115" workbookViewId="0">
      <selection activeCell="N21" sqref="N21"/>
    </sheetView>
  </sheetViews>
  <sheetFormatPr defaultRowHeight="14" x14ac:dyDescent="0.25"/>
  <cols>
    <col min="1" max="1" width="22.08984375" style="2" customWidth="1"/>
    <col min="2" max="2" width="9.81640625" style="2" customWidth="1"/>
    <col min="3" max="4" width="22.089843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24" x14ac:dyDescent="0.25">
      <c r="A2" s="2" t="s">
        <v>115</v>
      </c>
      <c r="B2" s="2" t="s">
        <v>15</v>
      </c>
      <c r="C2" s="2" t="s">
        <v>16</v>
      </c>
      <c r="D2" s="2" t="s">
        <v>120</v>
      </c>
      <c r="E2" s="2">
        <v>1</v>
      </c>
      <c r="F2" s="2">
        <v>1</v>
      </c>
      <c r="G2" s="2">
        <v>1</v>
      </c>
      <c r="H2" s="2">
        <v>1</v>
      </c>
      <c r="I2" s="4">
        <v>1</v>
      </c>
      <c r="J2" s="2">
        <v>1</v>
      </c>
      <c r="K2" s="2" t="b">
        <v>0</v>
      </c>
      <c r="L2" s="2">
        <v>3</v>
      </c>
      <c r="M2" s="2">
        <v>0</v>
      </c>
      <c r="N2" s="2">
        <v>0</v>
      </c>
    </row>
    <row r="3" spans="1:15" ht="210" x14ac:dyDescent="0.25">
      <c r="A3" s="2" t="s">
        <v>17</v>
      </c>
      <c r="B3" s="2" t="s">
        <v>15</v>
      </c>
      <c r="C3" s="2" t="s">
        <v>18</v>
      </c>
      <c r="D3" s="2" t="s">
        <v>121</v>
      </c>
      <c r="E3" s="2">
        <v>0</v>
      </c>
      <c r="F3" s="2">
        <v>0</v>
      </c>
      <c r="G3" s="2">
        <v>0</v>
      </c>
      <c r="H3" s="2">
        <v>0</v>
      </c>
      <c r="I3" s="4">
        <v>1</v>
      </c>
      <c r="J3" s="2">
        <v>1</v>
      </c>
      <c r="K3" s="2" t="b">
        <v>0</v>
      </c>
      <c r="L3" s="2">
        <v>1</v>
      </c>
      <c r="M3" s="2">
        <v>0</v>
      </c>
      <c r="N3" s="2">
        <v>0</v>
      </c>
    </row>
    <row r="4" spans="1:15" ht="252" x14ac:dyDescent="0.25">
      <c r="A4" s="2" t="s">
        <v>116</v>
      </c>
      <c r="B4" s="2" t="s">
        <v>15</v>
      </c>
      <c r="C4" s="2" t="s">
        <v>19</v>
      </c>
      <c r="D4" s="2" t="s">
        <v>122</v>
      </c>
      <c r="E4" s="2">
        <v>1</v>
      </c>
      <c r="F4" s="2">
        <v>1</v>
      </c>
      <c r="G4" s="2">
        <v>1</v>
      </c>
      <c r="H4" s="2">
        <v>1</v>
      </c>
      <c r="I4" s="4">
        <v>1</v>
      </c>
      <c r="J4" s="2">
        <v>1</v>
      </c>
      <c r="K4" s="2" t="b">
        <v>0</v>
      </c>
      <c r="L4" s="2">
        <v>1</v>
      </c>
      <c r="M4" s="2">
        <v>0</v>
      </c>
      <c r="N4" s="2">
        <v>0</v>
      </c>
    </row>
    <row r="5" spans="1:15" ht="409.5" x14ac:dyDescent="0.25">
      <c r="A5" s="2" t="s">
        <v>20</v>
      </c>
      <c r="B5" s="2" t="s">
        <v>15</v>
      </c>
      <c r="C5" s="2" t="s">
        <v>21</v>
      </c>
      <c r="D5" s="2" t="s">
        <v>123</v>
      </c>
      <c r="E5" s="2">
        <v>1</v>
      </c>
      <c r="F5" s="2">
        <v>1</v>
      </c>
      <c r="G5" s="2">
        <v>1</v>
      </c>
      <c r="H5" s="2">
        <v>1</v>
      </c>
      <c r="I5" s="4">
        <v>1</v>
      </c>
      <c r="J5" s="2">
        <v>0.8</v>
      </c>
      <c r="K5" s="2" t="b">
        <v>0</v>
      </c>
      <c r="L5" s="2">
        <v>2</v>
      </c>
      <c r="M5" s="2">
        <v>0</v>
      </c>
      <c r="N5" s="2">
        <v>1</v>
      </c>
    </row>
    <row r="6" spans="1:15" ht="224" x14ac:dyDescent="0.25">
      <c r="A6" s="2" t="s">
        <v>22</v>
      </c>
      <c r="B6" s="2" t="s">
        <v>15</v>
      </c>
      <c r="C6" s="2" t="s">
        <v>23</v>
      </c>
      <c r="D6" s="2" t="s">
        <v>124</v>
      </c>
      <c r="E6" s="2">
        <v>1</v>
      </c>
      <c r="F6" s="2">
        <v>1</v>
      </c>
      <c r="G6" s="2">
        <v>1</v>
      </c>
      <c r="H6" s="2">
        <v>1</v>
      </c>
      <c r="I6" s="4">
        <v>1</v>
      </c>
      <c r="J6" s="2">
        <v>0.85699999999999998</v>
      </c>
      <c r="K6" s="2" t="b">
        <v>0</v>
      </c>
      <c r="L6" s="2">
        <v>3</v>
      </c>
      <c r="M6" s="2">
        <v>0</v>
      </c>
      <c r="N6" s="2">
        <v>1</v>
      </c>
    </row>
    <row r="7" spans="1:15" ht="210" x14ac:dyDescent="0.25">
      <c r="A7" s="2" t="s">
        <v>24</v>
      </c>
      <c r="B7" s="2" t="s">
        <v>15</v>
      </c>
      <c r="C7" s="2" t="s">
        <v>25</v>
      </c>
      <c r="D7" s="2" t="s">
        <v>125</v>
      </c>
      <c r="E7" s="2">
        <v>1</v>
      </c>
      <c r="F7" s="2">
        <v>1</v>
      </c>
      <c r="G7" s="2">
        <v>1</v>
      </c>
      <c r="H7" s="2">
        <v>1</v>
      </c>
      <c r="I7" s="4">
        <v>1</v>
      </c>
      <c r="J7" s="2">
        <v>0.66700000000000004</v>
      </c>
      <c r="K7" s="2" t="b">
        <v>0</v>
      </c>
      <c r="L7" s="2">
        <v>1</v>
      </c>
      <c r="M7" s="2">
        <v>0</v>
      </c>
      <c r="N7" s="2">
        <v>1</v>
      </c>
    </row>
    <row r="8" spans="1:15" ht="252" x14ac:dyDescent="0.25">
      <c r="A8" s="2" t="s">
        <v>26</v>
      </c>
      <c r="B8" s="2" t="s">
        <v>15</v>
      </c>
      <c r="C8" s="2" t="s">
        <v>27</v>
      </c>
      <c r="D8" s="2" t="s">
        <v>126</v>
      </c>
      <c r="E8" s="2">
        <v>1</v>
      </c>
      <c r="F8" s="2">
        <v>1</v>
      </c>
      <c r="G8" s="2">
        <v>1</v>
      </c>
      <c r="H8" s="2">
        <v>1</v>
      </c>
      <c r="I8" s="4">
        <v>1</v>
      </c>
      <c r="J8" s="2">
        <v>1</v>
      </c>
      <c r="K8" s="2" t="b">
        <v>0</v>
      </c>
      <c r="L8" s="2">
        <v>1</v>
      </c>
      <c r="M8" s="2">
        <v>0</v>
      </c>
      <c r="N8" s="2">
        <v>0</v>
      </c>
    </row>
    <row r="9" spans="1:15" ht="210" x14ac:dyDescent="0.25">
      <c r="A9" s="2" t="s">
        <v>28</v>
      </c>
      <c r="B9" s="2" t="s">
        <v>15</v>
      </c>
      <c r="C9" s="2" t="s">
        <v>29</v>
      </c>
      <c r="D9" s="2" t="s">
        <v>130</v>
      </c>
      <c r="E9" s="2">
        <v>1</v>
      </c>
      <c r="F9" s="2">
        <v>1</v>
      </c>
      <c r="G9" s="2">
        <v>1</v>
      </c>
      <c r="H9" s="2">
        <v>1</v>
      </c>
      <c r="I9" s="4">
        <v>1</v>
      </c>
      <c r="J9" s="2">
        <v>1</v>
      </c>
      <c r="K9" s="2" t="b">
        <v>0</v>
      </c>
      <c r="L9" s="2">
        <v>4</v>
      </c>
      <c r="M9" s="2">
        <v>0</v>
      </c>
      <c r="N9" s="2">
        <v>0</v>
      </c>
    </row>
    <row r="10" spans="1:15" ht="350" x14ac:dyDescent="0.25">
      <c r="A10" s="2" t="s">
        <v>30</v>
      </c>
      <c r="B10" s="2" t="s">
        <v>15</v>
      </c>
      <c r="C10" s="2" t="s">
        <v>31</v>
      </c>
      <c r="D10" s="2" t="s">
        <v>131</v>
      </c>
      <c r="E10" s="2">
        <v>1</v>
      </c>
      <c r="F10" s="2">
        <v>1</v>
      </c>
      <c r="G10" s="2">
        <v>1</v>
      </c>
      <c r="H10" s="2">
        <v>1</v>
      </c>
      <c r="I10" s="4">
        <v>1</v>
      </c>
      <c r="J10" s="2">
        <v>0.85699999999999998</v>
      </c>
      <c r="K10" s="2" t="b">
        <v>0</v>
      </c>
      <c r="L10" s="2">
        <v>3</v>
      </c>
      <c r="M10" s="2">
        <v>0</v>
      </c>
      <c r="N10" s="2">
        <v>1</v>
      </c>
    </row>
    <row r="11" spans="1:15" ht="238" x14ac:dyDescent="0.25">
      <c r="A11" s="2" t="s">
        <v>32</v>
      </c>
      <c r="B11" s="2" t="s">
        <v>15</v>
      </c>
      <c r="C11" s="2" t="s">
        <v>33</v>
      </c>
      <c r="D11" s="2" t="s">
        <v>133</v>
      </c>
      <c r="E11" s="2">
        <v>1</v>
      </c>
      <c r="F11" s="2">
        <v>1</v>
      </c>
      <c r="G11" s="2">
        <v>1</v>
      </c>
      <c r="H11" s="2">
        <v>1</v>
      </c>
      <c r="I11" s="4">
        <v>1</v>
      </c>
      <c r="J11" s="2">
        <v>0.85699999999999998</v>
      </c>
      <c r="K11" s="2" t="b">
        <v>0</v>
      </c>
      <c r="L11" s="2">
        <v>3</v>
      </c>
      <c r="M11" s="2">
        <v>0</v>
      </c>
      <c r="N11" s="2">
        <v>1</v>
      </c>
    </row>
    <row r="12" spans="1:15" ht="238" x14ac:dyDescent="0.25">
      <c r="A12" s="2" t="s">
        <v>34</v>
      </c>
      <c r="B12" s="2" t="s">
        <v>15</v>
      </c>
      <c r="C12" s="2" t="s">
        <v>35</v>
      </c>
      <c r="D12" s="2" t="s">
        <v>134</v>
      </c>
      <c r="E12" s="2">
        <v>1</v>
      </c>
      <c r="F12" s="2">
        <v>1</v>
      </c>
      <c r="G12" s="2">
        <v>1</v>
      </c>
      <c r="H12" s="2">
        <v>1</v>
      </c>
      <c r="I12" s="4">
        <v>1</v>
      </c>
      <c r="J12" s="2">
        <v>1</v>
      </c>
      <c r="K12" s="2" t="b">
        <v>0</v>
      </c>
      <c r="L12" s="2">
        <v>2</v>
      </c>
      <c r="M12" s="2">
        <v>0</v>
      </c>
      <c r="N12" s="2">
        <v>0</v>
      </c>
    </row>
    <row r="13" spans="1:15" ht="322" x14ac:dyDescent="0.25">
      <c r="A13" s="2" t="s">
        <v>36</v>
      </c>
      <c r="B13" s="2" t="s">
        <v>15</v>
      </c>
      <c r="C13" s="2" t="s">
        <v>37</v>
      </c>
      <c r="D13" s="2" t="s">
        <v>136</v>
      </c>
      <c r="E13" s="2">
        <v>1</v>
      </c>
      <c r="F13" s="2">
        <v>1</v>
      </c>
      <c r="G13" s="2">
        <v>1</v>
      </c>
      <c r="H13" s="2">
        <v>1</v>
      </c>
      <c r="I13" s="4">
        <v>1</v>
      </c>
      <c r="J13" s="2">
        <v>1</v>
      </c>
      <c r="K13" s="2" t="b">
        <v>0</v>
      </c>
      <c r="L13" s="2">
        <v>3</v>
      </c>
      <c r="M13" s="2">
        <v>0</v>
      </c>
      <c r="N13" s="2">
        <v>0</v>
      </c>
    </row>
    <row r="14" spans="1:15" ht="238" x14ac:dyDescent="0.25">
      <c r="A14" s="2" t="s">
        <v>119</v>
      </c>
      <c r="B14" s="2" t="s">
        <v>38</v>
      </c>
      <c r="C14" s="2" t="s">
        <v>39</v>
      </c>
      <c r="D14" s="2" t="s">
        <v>138</v>
      </c>
      <c r="E14" s="2">
        <v>1</v>
      </c>
      <c r="F14" s="2">
        <v>1</v>
      </c>
      <c r="G14" s="2">
        <v>1</v>
      </c>
      <c r="H14" s="2">
        <v>1</v>
      </c>
      <c r="I14" s="4">
        <v>1</v>
      </c>
      <c r="J14" s="2">
        <v>1</v>
      </c>
      <c r="K14" s="2" t="b">
        <v>0</v>
      </c>
      <c r="L14" s="2">
        <v>1</v>
      </c>
      <c r="M14" s="2">
        <v>0</v>
      </c>
      <c r="N14" s="2">
        <v>0</v>
      </c>
    </row>
    <row r="15" spans="1:15" ht="266" x14ac:dyDescent="0.25">
      <c r="A15" s="2" t="s">
        <v>117</v>
      </c>
      <c r="B15" s="2" t="s">
        <v>38</v>
      </c>
      <c r="C15" s="2" t="s">
        <v>40</v>
      </c>
      <c r="D15" s="2" t="s">
        <v>132</v>
      </c>
      <c r="E15" s="2">
        <v>1</v>
      </c>
      <c r="F15" s="2">
        <v>1</v>
      </c>
      <c r="G15" s="2">
        <v>1</v>
      </c>
      <c r="H15" s="2">
        <v>1</v>
      </c>
      <c r="I15" s="4">
        <v>1</v>
      </c>
      <c r="J15" s="2">
        <v>1</v>
      </c>
      <c r="K15" s="2" t="b">
        <v>0</v>
      </c>
      <c r="L15" s="2">
        <v>3</v>
      </c>
      <c r="M15" s="2">
        <v>0</v>
      </c>
      <c r="N15" s="2">
        <v>0</v>
      </c>
    </row>
    <row r="16" spans="1:15" ht="336" x14ac:dyDescent="0.25">
      <c r="A16" s="2" t="s">
        <v>118</v>
      </c>
      <c r="B16" s="2" t="s">
        <v>38</v>
      </c>
      <c r="C16" s="2" t="s">
        <v>41</v>
      </c>
      <c r="D16" s="2" t="s">
        <v>139</v>
      </c>
      <c r="E16" s="2">
        <v>0</v>
      </c>
      <c r="F16" s="2">
        <v>1</v>
      </c>
      <c r="G16" s="2">
        <v>1</v>
      </c>
      <c r="H16" s="2">
        <v>0.5</v>
      </c>
      <c r="I16" s="4">
        <v>1</v>
      </c>
      <c r="J16" s="2">
        <v>1</v>
      </c>
      <c r="K16" s="2" t="b">
        <v>0</v>
      </c>
      <c r="L16" s="2">
        <v>3</v>
      </c>
      <c r="M16" s="2">
        <v>0</v>
      </c>
      <c r="N16" s="2">
        <v>0</v>
      </c>
    </row>
    <row r="17" spans="1:14" ht="409.5" x14ac:dyDescent="0.25">
      <c r="A17" s="2" t="s">
        <v>42</v>
      </c>
      <c r="B17" s="2" t="s">
        <v>38</v>
      </c>
      <c r="C17" s="2" t="s">
        <v>43</v>
      </c>
      <c r="D17" s="2" t="s">
        <v>140</v>
      </c>
      <c r="E17" s="2">
        <v>1</v>
      </c>
      <c r="F17" s="2">
        <v>1</v>
      </c>
      <c r="G17" s="2">
        <v>1</v>
      </c>
      <c r="H17" s="2">
        <v>1</v>
      </c>
      <c r="I17" s="4">
        <v>0.5</v>
      </c>
      <c r="J17" s="2">
        <v>0.66700000000000004</v>
      </c>
      <c r="K17" s="2" t="b">
        <v>0</v>
      </c>
      <c r="L17" s="2">
        <v>1</v>
      </c>
      <c r="M17" s="2">
        <v>0</v>
      </c>
      <c r="N17" s="2">
        <v>1</v>
      </c>
    </row>
    <row r="18" spans="1:14" ht="409.5" x14ac:dyDescent="0.25">
      <c r="A18" s="2" t="s">
        <v>44</v>
      </c>
      <c r="B18" s="2" t="s">
        <v>38</v>
      </c>
      <c r="C18" s="2" t="s">
        <v>45</v>
      </c>
      <c r="D18" s="2" t="s">
        <v>141</v>
      </c>
      <c r="E18" s="2">
        <v>1</v>
      </c>
      <c r="F18" s="2">
        <v>1</v>
      </c>
      <c r="G18" s="2">
        <v>1</v>
      </c>
      <c r="H18" s="2">
        <v>1</v>
      </c>
      <c r="I18" s="4">
        <v>0.66700000000000004</v>
      </c>
      <c r="J18" s="2">
        <v>1</v>
      </c>
      <c r="K18" s="2" t="b">
        <v>0</v>
      </c>
      <c r="L18" s="2">
        <v>4</v>
      </c>
      <c r="M18" s="2">
        <v>0</v>
      </c>
      <c r="N18" s="2">
        <v>0</v>
      </c>
    </row>
    <row r="19" spans="1:14" ht="409.5" x14ac:dyDescent="0.25">
      <c r="A19" s="2" t="s">
        <v>46</v>
      </c>
      <c r="B19" s="2" t="s">
        <v>38</v>
      </c>
      <c r="C19" s="2" t="s">
        <v>47</v>
      </c>
      <c r="D19" s="2" t="s">
        <v>142</v>
      </c>
      <c r="E19" s="2">
        <v>1</v>
      </c>
      <c r="F19" s="2">
        <v>1</v>
      </c>
      <c r="G19" s="2">
        <v>1</v>
      </c>
      <c r="H19" s="2">
        <v>1</v>
      </c>
      <c r="I19" s="4">
        <v>1</v>
      </c>
      <c r="J19" s="2">
        <v>1</v>
      </c>
      <c r="K19" s="2" t="b">
        <v>0</v>
      </c>
      <c r="L19" s="2">
        <v>3</v>
      </c>
      <c r="M19" s="2">
        <v>0</v>
      </c>
      <c r="N19" s="2">
        <v>0</v>
      </c>
    </row>
    <row r="20" spans="1:14" ht="280" x14ac:dyDescent="0.25">
      <c r="A20" s="2" t="s">
        <v>48</v>
      </c>
      <c r="B20" s="2" t="s">
        <v>38</v>
      </c>
      <c r="C20" s="2" t="s">
        <v>49</v>
      </c>
      <c r="D20" s="5" t="s">
        <v>143</v>
      </c>
      <c r="E20" s="2">
        <v>1</v>
      </c>
      <c r="F20" s="2">
        <v>1</v>
      </c>
      <c r="G20" s="2">
        <v>1</v>
      </c>
      <c r="H20" s="2">
        <v>1</v>
      </c>
      <c r="I20" s="4">
        <v>1</v>
      </c>
      <c r="J20" s="2">
        <v>1</v>
      </c>
      <c r="K20" s="2" t="b">
        <v>0</v>
      </c>
      <c r="L20" s="2">
        <v>2</v>
      </c>
      <c r="M20" s="2">
        <v>0</v>
      </c>
      <c r="N20" s="2">
        <v>0</v>
      </c>
    </row>
    <row r="21" spans="1:14" ht="336" x14ac:dyDescent="0.25">
      <c r="A21" s="2" t="s">
        <v>161</v>
      </c>
      <c r="B21" s="2" t="s">
        <v>38</v>
      </c>
      <c r="C21" s="2" t="s">
        <v>50</v>
      </c>
      <c r="D21" s="2" t="s">
        <v>144</v>
      </c>
      <c r="E21" s="2">
        <v>1</v>
      </c>
      <c r="F21" s="2">
        <v>1</v>
      </c>
      <c r="G21" s="2">
        <v>1</v>
      </c>
      <c r="H21" s="2">
        <v>1</v>
      </c>
      <c r="I21" s="4">
        <v>1</v>
      </c>
      <c r="J21" s="2">
        <v>0.66700000000000004</v>
      </c>
      <c r="K21" s="2" t="b">
        <v>0</v>
      </c>
      <c r="L21" s="2">
        <v>1</v>
      </c>
      <c r="M21" s="2">
        <v>0</v>
      </c>
      <c r="N21" s="2">
        <v>1</v>
      </c>
    </row>
    <row r="22" spans="1:14" ht="378" x14ac:dyDescent="0.25">
      <c r="A22" s="2" t="s">
        <v>51</v>
      </c>
      <c r="B22" s="2" t="s">
        <v>38</v>
      </c>
      <c r="C22" s="2" t="s">
        <v>52</v>
      </c>
      <c r="D22" s="2" t="s">
        <v>145</v>
      </c>
      <c r="E22" s="2">
        <v>1</v>
      </c>
      <c r="F22" s="2">
        <v>1</v>
      </c>
      <c r="G22" s="2">
        <v>1</v>
      </c>
      <c r="H22" s="2">
        <v>1</v>
      </c>
      <c r="I22" s="4">
        <v>1</v>
      </c>
      <c r="J22" s="2">
        <v>1</v>
      </c>
      <c r="K22" s="2" t="b">
        <v>0</v>
      </c>
      <c r="L22" s="2">
        <v>3</v>
      </c>
      <c r="M22" s="2">
        <v>0</v>
      </c>
      <c r="N22" s="2">
        <v>0</v>
      </c>
    </row>
    <row r="23" spans="1:14" ht="409.5" x14ac:dyDescent="0.25">
      <c r="A23" s="2" t="s">
        <v>53</v>
      </c>
      <c r="B23" s="2" t="s">
        <v>38</v>
      </c>
      <c r="C23" s="2" t="s">
        <v>54</v>
      </c>
      <c r="D23" s="2" t="s">
        <v>146</v>
      </c>
      <c r="E23" s="2">
        <v>1</v>
      </c>
      <c r="F23" s="2">
        <v>1</v>
      </c>
      <c r="G23" s="2">
        <v>1</v>
      </c>
      <c r="H23" s="2">
        <v>1</v>
      </c>
      <c r="I23" s="4">
        <v>0.5</v>
      </c>
      <c r="J23" s="2">
        <v>1</v>
      </c>
      <c r="K23" s="2" t="b">
        <v>0</v>
      </c>
      <c r="L23" s="2">
        <v>2</v>
      </c>
      <c r="M23" s="2">
        <v>0</v>
      </c>
      <c r="N23" s="2">
        <v>0</v>
      </c>
    </row>
    <row r="24" spans="1:14" ht="252" x14ac:dyDescent="0.25">
      <c r="A24" s="2" t="s">
        <v>55</v>
      </c>
      <c r="B24" s="2" t="s">
        <v>38</v>
      </c>
      <c r="C24" s="2" t="s">
        <v>56</v>
      </c>
      <c r="D24" s="2" t="s">
        <v>148</v>
      </c>
      <c r="E24" s="2">
        <v>1</v>
      </c>
      <c r="F24" s="2">
        <v>1</v>
      </c>
      <c r="G24" s="2">
        <v>1</v>
      </c>
      <c r="H24" s="2">
        <v>1</v>
      </c>
      <c r="I24" s="4">
        <v>1</v>
      </c>
      <c r="J24" s="2">
        <v>0.66700000000000004</v>
      </c>
      <c r="K24" s="2" t="b">
        <v>0</v>
      </c>
      <c r="L24" s="2">
        <v>1</v>
      </c>
      <c r="M24" s="2">
        <v>1</v>
      </c>
      <c r="N24" s="2">
        <v>0</v>
      </c>
    </row>
    <row r="25" spans="1:14" ht="238" x14ac:dyDescent="0.25">
      <c r="A25" s="2" t="s">
        <v>57</v>
      </c>
      <c r="B25" s="2" t="s">
        <v>58</v>
      </c>
      <c r="C25" s="2" t="s">
        <v>59</v>
      </c>
      <c r="D25" s="2" t="s">
        <v>150</v>
      </c>
      <c r="E25" s="2">
        <v>1</v>
      </c>
      <c r="F25" s="2">
        <v>1</v>
      </c>
      <c r="G25" s="2">
        <v>1</v>
      </c>
      <c r="H25" s="2">
        <v>1</v>
      </c>
      <c r="I25" s="4">
        <v>1</v>
      </c>
      <c r="J25" s="2">
        <v>1</v>
      </c>
      <c r="K25" s="2" t="b">
        <v>0</v>
      </c>
      <c r="L25" s="2">
        <v>2</v>
      </c>
      <c r="M25" s="2">
        <v>0</v>
      </c>
      <c r="N25" s="2">
        <v>0</v>
      </c>
    </row>
    <row r="26" spans="1:14" ht="252" x14ac:dyDescent="0.25">
      <c r="A26" s="2" t="s">
        <v>60</v>
      </c>
      <c r="B26" s="2" t="s">
        <v>58</v>
      </c>
      <c r="C26" s="2" t="s">
        <v>61</v>
      </c>
      <c r="D26" s="2" t="s">
        <v>151</v>
      </c>
      <c r="E26" s="2">
        <v>1</v>
      </c>
      <c r="F26" s="2">
        <v>1</v>
      </c>
      <c r="G26" s="2">
        <v>1</v>
      </c>
      <c r="H26" s="2">
        <v>1</v>
      </c>
      <c r="I26" s="4">
        <v>1</v>
      </c>
      <c r="J26" s="2">
        <v>1</v>
      </c>
      <c r="K26" s="2" t="b">
        <v>0</v>
      </c>
      <c r="L26" s="2">
        <v>1</v>
      </c>
      <c r="M26" s="2">
        <v>0</v>
      </c>
      <c r="N26" s="2">
        <v>0</v>
      </c>
    </row>
    <row r="27" spans="1:14" ht="409.5" x14ac:dyDescent="0.25">
      <c r="A27" s="2" t="s">
        <v>62</v>
      </c>
      <c r="B27" s="2" t="s">
        <v>58</v>
      </c>
      <c r="C27" s="2" t="s">
        <v>63</v>
      </c>
      <c r="D27" s="2" t="s">
        <v>153</v>
      </c>
      <c r="E27" s="2">
        <v>1</v>
      </c>
      <c r="F27" s="2">
        <v>1</v>
      </c>
      <c r="G27" s="2">
        <v>1</v>
      </c>
      <c r="H27" s="2">
        <v>1</v>
      </c>
      <c r="I27" s="4">
        <v>1</v>
      </c>
      <c r="J27" s="2">
        <v>1</v>
      </c>
      <c r="K27" s="2" t="b">
        <v>0</v>
      </c>
      <c r="L27" s="2">
        <v>1</v>
      </c>
      <c r="M27" s="2">
        <v>0</v>
      </c>
      <c r="N27" s="2">
        <v>0</v>
      </c>
    </row>
    <row r="28" spans="1:14" ht="182" x14ac:dyDescent="0.25">
      <c r="A28" s="2" t="s">
        <v>64</v>
      </c>
      <c r="B28" s="2" t="s">
        <v>58</v>
      </c>
      <c r="C28" s="2" t="s">
        <v>65</v>
      </c>
      <c r="D28" s="2" t="s">
        <v>149</v>
      </c>
      <c r="E28" s="2">
        <v>1</v>
      </c>
      <c r="F28" s="2">
        <v>1</v>
      </c>
      <c r="G28" s="2">
        <v>1</v>
      </c>
      <c r="H28" s="2">
        <v>1</v>
      </c>
      <c r="I28" s="4">
        <v>1</v>
      </c>
      <c r="J28" s="2">
        <v>1</v>
      </c>
      <c r="K28" s="2" t="b">
        <v>0</v>
      </c>
      <c r="L28" s="2">
        <v>1</v>
      </c>
      <c r="M28" s="2">
        <v>0</v>
      </c>
      <c r="N28" s="2">
        <v>0</v>
      </c>
    </row>
    <row r="29" spans="1:14" ht="224" x14ac:dyDescent="0.25">
      <c r="A29" s="2" t="s">
        <v>66</v>
      </c>
      <c r="B29" s="2" t="s">
        <v>58</v>
      </c>
      <c r="C29" s="2" t="s">
        <v>67</v>
      </c>
      <c r="D29" s="2" t="s">
        <v>135</v>
      </c>
      <c r="E29" s="2">
        <v>1</v>
      </c>
      <c r="F29" s="2">
        <v>1</v>
      </c>
      <c r="G29" s="2">
        <v>1</v>
      </c>
      <c r="H29" s="2">
        <v>1</v>
      </c>
      <c r="I29" s="4">
        <v>1</v>
      </c>
      <c r="J29" s="2">
        <v>1</v>
      </c>
      <c r="K29" s="2" t="b">
        <v>0</v>
      </c>
      <c r="L29" s="2">
        <v>1</v>
      </c>
      <c r="M29" s="2">
        <v>0</v>
      </c>
      <c r="N29" s="2">
        <v>0</v>
      </c>
    </row>
    <row r="30" spans="1:14" ht="238" x14ac:dyDescent="0.25">
      <c r="A30" s="2" t="s">
        <v>68</v>
      </c>
      <c r="B30" s="2" t="s">
        <v>58</v>
      </c>
      <c r="C30" s="2" t="s">
        <v>69</v>
      </c>
      <c r="D30" s="2" t="s">
        <v>154</v>
      </c>
      <c r="E30" s="2">
        <v>1</v>
      </c>
      <c r="F30" s="2">
        <v>1</v>
      </c>
      <c r="G30" s="2">
        <v>1</v>
      </c>
      <c r="H30" s="2">
        <v>1</v>
      </c>
      <c r="I30" s="4">
        <v>1</v>
      </c>
      <c r="J30" s="2">
        <v>1</v>
      </c>
      <c r="K30" s="2" t="b">
        <v>0</v>
      </c>
      <c r="L30" s="2">
        <v>3</v>
      </c>
      <c r="M30" s="2">
        <v>0</v>
      </c>
      <c r="N30" s="2">
        <v>0</v>
      </c>
    </row>
    <row r="31" spans="1:14" ht="322" x14ac:dyDescent="0.25">
      <c r="A31" s="2" t="s">
        <v>70</v>
      </c>
      <c r="B31" s="2" t="s">
        <v>58</v>
      </c>
      <c r="C31" s="2" t="s">
        <v>71</v>
      </c>
      <c r="D31" s="2" t="s">
        <v>127</v>
      </c>
      <c r="E31" s="2">
        <v>1</v>
      </c>
      <c r="F31" s="2">
        <v>1</v>
      </c>
      <c r="G31" s="2">
        <v>1</v>
      </c>
      <c r="H31" s="2">
        <v>1</v>
      </c>
      <c r="I31" s="4">
        <v>1</v>
      </c>
      <c r="J31" s="2">
        <v>1</v>
      </c>
      <c r="K31" s="2" t="b">
        <v>0</v>
      </c>
      <c r="L31" s="2">
        <v>3</v>
      </c>
      <c r="M31" s="2">
        <v>0</v>
      </c>
      <c r="N31" s="2">
        <v>0</v>
      </c>
    </row>
    <row r="32" spans="1:14" ht="322" x14ac:dyDescent="0.25">
      <c r="A32" s="2" t="s">
        <v>72</v>
      </c>
      <c r="B32" s="2" t="s">
        <v>58</v>
      </c>
      <c r="C32" s="2" t="s">
        <v>73</v>
      </c>
      <c r="D32" s="2" t="s">
        <v>128</v>
      </c>
      <c r="E32" s="2">
        <v>1</v>
      </c>
      <c r="F32" s="2">
        <v>1</v>
      </c>
      <c r="G32" s="2">
        <v>1</v>
      </c>
      <c r="H32" s="2">
        <v>1</v>
      </c>
      <c r="I32" s="4">
        <v>1</v>
      </c>
      <c r="J32" s="2">
        <v>1</v>
      </c>
      <c r="K32" s="2" t="b">
        <v>0</v>
      </c>
      <c r="L32" s="2">
        <v>3</v>
      </c>
      <c r="M32" s="2">
        <v>0</v>
      </c>
      <c r="N32" s="2">
        <v>0</v>
      </c>
    </row>
    <row r="33" spans="1:15" ht="409.5" x14ac:dyDescent="0.25">
      <c r="A33" s="2" t="s">
        <v>74</v>
      </c>
      <c r="B33" s="2" t="s">
        <v>58</v>
      </c>
      <c r="C33" s="2" t="s">
        <v>75</v>
      </c>
      <c r="D33" s="2" t="s">
        <v>156</v>
      </c>
      <c r="E33" s="2">
        <v>1</v>
      </c>
      <c r="F33" s="2">
        <v>1</v>
      </c>
      <c r="G33" s="2">
        <v>1</v>
      </c>
      <c r="H33" s="2">
        <v>1</v>
      </c>
      <c r="I33" s="4">
        <v>1</v>
      </c>
      <c r="J33" s="2">
        <v>1</v>
      </c>
      <c r="K33" s="2" t="b">
        <v>0</v>
      </c>
      <c r="L33" s="2">
        <v>3</v>
      </c>
      <c r="M33" s="2">
        <v>0</v>
      </c>
      <c r="N33" s="2">
        <v>0</v>
      </c>
    </row>
    <row r="34" spans="1:15" ht="336" x14ac:dyDescent="0.25">
      <c r="A34" s="2" t="s">
        <v>76</v>
      </c>
      <c r="B34" s="2" t="s">
        <v>58</v>
      </c>
      <c r="C34" s="2" t="s">
        <v>77</v>
      </c>
      <c r="D34" s="2" t="s">
        <v>157</v>
      </c>
      <c r="E34" s="2">
        <v>1</v>
      </c>
      <c r="F34" s="2">
        <v>1</v>
      </c>
      <c r="G34" s="2">
        <v>1</v>
      </c>
      <c r="H34" s="2">
        <v>1</v>
      </c>
      <c r="I34" s="4">
        <v>1</v>
      </c>
      <c r="J34" s="2">
        <v>1</v>
      </c>
      <c r="K34" s="2" t="b">
        <v>0</v>
      </c>
      <c r="L34" s="2">
        <v>3</v>
      </c>
      <c r="M34" s="2">
        <v>0</v>
      </c>
      <c r="N34" s="2">
        <v>0</v>
      </c>
    </row>
    <row r="35" spans="1:15" ht="182" x14ac:dyDescent="0.25">
      <c r="A35" s="2" t="s">
        <v>78</v>
      </c>
      <c r="B35" s="2" t="s">
        <v>58</v>
      </c>
      <c r="C35" s="2" t="s">
        <v>79</v>
      </c>
      <c r="D35" s="2" t="s">
        <v>158</v>
      </c>
      <c r="E35" s="2">
        <v>1</v>
      </c>
      <c r="F35" s="2">
        <v>1</v>
      </c>
      <c r="G35" s="2">
        <v>1</v>
      </c>
      <c r="H35" s="2">
        <v>1</v>
      </c>
      <c r="I35" s="4">
        <v>1</v>
      </c>
      <c r="J35" s="2">
        <v>0.66700000000000004</v>
      </c>
      <c r="K35" s="2" t="b">
        <v>0</v>
      </c>
      <c r="L35" s="2">
        <v>1</v>
      </c>
      <c r="M35" s="2">
        <v>0</v>
      </c>
      <c r="N35" s="2">
        <v>1</v>
      </c>
    </row>
    <row r="36" spans="1:15" ht="409.5" x14ac:dyDescent="0.25">
      <c r="A36" s="2" t="s">
        <v>80</v>
      </c>
      <c r="B36" s="2" t="s">
        <v>81</v>
      </c>
      <c r="C36" s="2" t="s">
        <v>82</v>
      </c>
      <c r="D36" s="2" t="s">
        <v>152</v>
      </c>
      <c r="E36" s="2">
        <v>0</v>
      </c>
      <c r="F36" s="2">
        <v>1</v>
      </c>
      <c r="G36" s="2">
        <v>1</v>
      </c>
      <c r="H36" s="2">
        <v>0.33333333333333331</v>
      </c>
      <c r="I36" s="4">
        <v>0.5</v>
      </c>
      <c r="J36" s="2">
        <v>1</v>
      </c>
      <c r="K36" s="2" t="b">
        <v>0</v>
      </c>
      <c r="L36" s="2">
        <v>2</v>
      </c>
      <c r="M36" s="2">
        <v>0</v>
      </c>
      <c r="N36" s="2">
        <v>0</v>
      </c>
    </row>
    <row r="37" spans="1:15" ht="409.5" x14ac:dyDescent="0.25">
      <c r="A37" s="2" t="s">
        <v>83</v>
      </c>
      <c r="B37" s="2" t="s">
        <v>81</v>
      </c>
      <c r="C37" s="2" t="s">
        <v>84</v>
      </c>
      <c r="D37" s="2" t="s">
        <v>159</v>
      </c>
      <c r="E37" s="2">
        <v>1</v>
      </c>
      <c r="F37" s="2">
        <v>1</v>
      </c>
      <c r="G37" s="2">
        <v>1</v>
      </c>
      <c r="H37" s="2">
        <v>1</v>
      </c>
      <c r="I37" s="4">
        <v>1</v>
      </c>
      <c r="J37" s="2">
        <v>1</v>
      </c>
      <c r="K37" s="2" t="b">
        <v>0</v>
      </c>
      <c r="L37" s="2">
        <v>2</v>
      </c>
      <c r="M37" s="2">
        <v>0</v>
      </c>
      <c r="N37" s="2">
        <v>0</v>
      </c>
    </row>
    <row r="38" spans="1:15" ht="409.5" x14ac:dyDescent="0.25">
      <c r="A38" s="2" t="s">
        <v>85</v>
      </c>
      <c r="B38" s="2" t="s">
        <v>81</v>
      </c>
      <c r="C38" s="2" t="s">
        <v>86</v>
      </c>
      <c r="D38" s="2" t="s">
        <v>160</v>
      </c>
      <c r="E38" s="2">
        <v>1</v>
      </c>
      <c r="F38" s="2">
        <v>1</v>
      </c>
      <c r="G38" s="2">
        <v>1</v>
      </c>
      <c r="H38" s="2">
        <v>1</v>
      </c>
      <c r="I38" s="4">
        <v>0.66700000000000004</v>
      </c>
      <c r="J38" s="2">
        <v>0.66700000000000004</v>
      </c>
      <c r="K38" s="2" t="b">
        <v>0</v>
      </c>
      <c r="L38" s="2">
        <v>2</v>
      </c>
      <c r="M38" s="2">
        <v>0</v>
      </c>
      <c r="N38" s="2">
        <v>2</v>
      </c>
    </row>
    <row r="39" spans="1:15" ht="409.5" x14ac:dyDescent="0.25">
      <c r="A39" s="2" t="s">
        <v>87</v>
      </c>
      <c r="B39" s="2" t="s">
        <v>81</v>
      </c>
      <c r="C39" s="2" t="s">
        <v>88</v>
      </c>
      <c r="D39" s="2" t="s">
        <v>137</v>
      </c>
      <c r="E39" s="2">
        <v>1</v>
      </c>
      <c r="F39" s="2">
        <v>1</v>
      </c>
      <c r="G39" s="2">
        <v>1</v>
      </c>
      <c r="H39" s="2">
        <v>1</v>
      </c>
      <c r="I39" s="4">
        <v>0.5</v>
      </c>
      <c r="J39" s="2">
        <v>1</v>
      </c>
      <c r="K39" s="2" t="b">
        <v>0</v>
      </c>
      <c r="L39" s="2">
        <v>2</v>
      </c>
      <c r="M39" s="2">
        <v>0</v>
      </c>
      <c r="N39" s="2">
        <v>0</v>
      </c>
    </row>
    <row r="40" spans="1:15" ht="409.5" x14ac:dyDescent="0.25">
      <c r="A40" s="2" t="s">
        <v>89</v>
      </c>
      <c r="B40" s="2" t="s">
        <v>81</v>
      </c>
      <c r="C40" s="2" t="s">
        <v>90</v>
      </c>
      <c r="D40" s="2" t="s">
        <v>155</v>
      </c>
      <c r="E40" s="2">
        <v>1</v>
      </c>
      <c r="F40" s="2">
        <v>1</v>
      </c>
      <c r="G40" s="2">
        <v>1</v>
      </c>
      <c r="H40" s="2">
        <v>1</v>
      </c>
      <c r="I40" s="4">
        <v>1</v>
      </c>
      <c r="J40" s="2">
        <v>0.66700000000000004</v>
      </c>
      <c r="K40" s="2" t="b">
        <v>0</v>
      </c>
      <c r="L40" s="2">
        <v>2</v>
      </c>
      <c r="M40" s="2">
        <v>0</v>
      </c>
      <c r="N40" s="2">
        <v>2</v>
      </c>
    </row>
    <row r="41" spans="1:15" ht="409.5" x14ac:dyDescent="0.25">
      <c r="A41" s="2" t="s">
        <v>91</v>
      </c>
      <c r="B41" s="2" t="s">
        <v>81</v>
      </c>
      <c r="C41" s="2" t="s">
        <v>92</v>
      </c>
      <c r="D41" s="2" t="s">
        <v>129</v>
      </c>
      <c r="E41" s="2">
        <v>1</v>
      </c>
      <c r="F41" s="2">
        <v>1</v>
      </c>
      <c r="G41" s="2">
        <v>1</v>
      </c>
      <c r="H41" s="2">
        <v>1</v>
      </c>
      <c r="I41" s="4">
        <v>1</v>
      </c>
      <c r="J41" s="2">
        <v>0.8</v>
      </c>
      <c r="K41" s="2" t="b">
        <v>0</v>
      </c>
      <c r="L41" s="2">
        <v>2</v>
      </c>
      <c r="M41" s="2">
        <v>0</v>
      </c>
      <c r="N41" s="2">
        <v>1</v>
      </c>
    </row>
    <row r="42" spans="1:15" ht="322" x14ac:dyDescent="0.25">
      <c r="A42" s="2" t="s">
        <v>93</v>
      </c>
      <c r="B42" s="2" t="s">
        <v>81</v>
      </c>
      <c r="C42" s="2" t="s">
        <v>94</v>
      </c>
      <c r="D42" s="2" t="s">
        <v>95</v>
      </c>
      <c r="E42" s="2">
        <v>0</v>
      </c>
      <c r="F42" s="2">
        <v>1</v>
      </c>
      <c r="G42" s="2">
        <v>1</v>
      </c>
      <c r="H42" s="2">
        <v>0.33333333333333331</v>
      </c>
      <c r="I42" s="4">
        <v>1</v>
      </c>
      <c r="J42" s="2">
        <v>0.66700000000000004</v>
      </c>
      <c r="K42" s="2" t="b">
        <v>0</v>
      </c>
      <c r="L42" s="2">
        <v>2</v>
      </c>
      <c r="M42" s="2">
        <v>0</v>
      </c>
      <c r="N42" s="2">
        <v>2</v>
      </c>
    </row>
    <row r="43" spans="1:15" ht="409.5" x14ac:dyDescent="0.25">
      <c r="A43" s="2" t="s">
        <v>96</v>
      </c>
      <c r="B43" s="2" t="s">
        <v>81</v>
      </c>
      <c r="C43" s="2" t="s">
        <v>97</v>
      </c>
      <c r="D43" s="2" t="s">
        <v>147</v>
      </c>
      <c r="E43" s="2">
        <v>0</v>
      </c>
      <c r="F43" s="2">
        <v>0</v>
      </c>
      <c r="G43" s="2">
        <v>0</v>
      </c>
      <c r="H43" s="2">
        <v>0</v>
      </c>
      <c r="I43" s="4">
        <v>0.75</v>
      </c>
      <c r="J43" s="2">
        <v>0.66700000000000004</v>
      </c>
      <c r="K43" s="2" t="b">
        <v>0</v>
      </c>
      <c r="L43" s="2">
        <v>2</v>
      </c>
      <c r="M43" s="2">
        <v>1</v>
      </c>
      <c r="N43" s="2">
        <v>1</v>
      </c>
    </row>
    <row r="44" spans="1:15" ht="42" x14ac:dyDescent="0.25">
      <c r="A44" s="2" t="s">
        <v>98</v>
      </c>
      <c r="B44" s="2" t="s">
        <v>99</v>
      </c>
      <c r="C44" s="2" t="s">
        <v>100</v>
      </c>
      <c r="D44" s="2" t="s">
        <v>101</v>
      </c>
      <c r="J44" s="2">
        <v>1</v>
      </c>
      <c r="K44" s="2" t="b">
        <v>1</v>
      </c>
      <c r="L44" s="2">
        <v>1</v>
      </c>
      <c r="M44" s="2">
        <v>0</v>
      </c>
      <c r="N44" s="2">
        <v>0</v>
      </c>
      <c r="O44" s="2" t="b">
        <v>1</v>
      </c>
    </row>
    <row r="45" spans="1:15" ht="56" x14ac:dyDescent="0.25">
      <c r="A45" s="2" t="s">
        <v>102</v>
      </c>
      <c r="B45" s="2" t="s">
        <v>99</v>
      </c>
      <c r="C45" s="2" t="s">
        <v>100</v>
      </c>
      <c r="D45" s="2" t="s">
        <v>101</v>
      </c>
      <c r="J45" s="2">
        <v>1</v>
      </c>
      <c r="K45" s="2" t="b">
        <v>1</v>
      </c>
      <c r="L45" s="2">
        <v>1</v>
      </c>
      <c r="M45" s="2">
        <v>0</v>
      </c>
      <c r="N45" s="2">
        <v>0</v>
      </c>
      <c r="O45" s="2" t="b">
        <v>1</v>
      </c>
    </row>
    <row r="46" spans="1:15" ht="42" x14ac:dyDescent="0.25">
      <c r="A46" s="2" t="s">
        <v>103</v>
      </c>
      <c r="B46" s="2" t="s">
        <v>99</v>
      </c>
      <c r="C46" s="2" t="s">
        <v>100</v>
      </c>
      <c r="D46" s="2" t="s">
        <v>101</v>
      </c>
      <c r="J46" s="2">
        <v>1</v>
      </c>
      <c r="K46" s="2" t="b">
        <v>1</v>
      </c>
      <c r="L46" s="2">
        <v>1</v>
      </c>
      <c r="M46" s="2">
        <v>0</v>
      </c>
      <c r="N46" s="2">
        <v>0</v>
      </c>
      <c r="O46" s="2" t="b">
        <v>1</v>
      </c>
    </row>
    <row r="47" spans="1:15" ht="84" x14ac:dyDescent="0.25">
      <c r="A47" s="2" t="s">
        <v>104</v>
      </c>
      <c r="B47" s="2" t="s">
        <v>99</v>
      </c>
      <c r="C47" s="2" t="s">
        <v>100</v>
      </c>
      <c r="D47" s="2" t="s">
        <v>101</v>
      </c>
      <c r="J47" s="2">
        <v>1</v>
      </c>
      <c r="K47" s="2" t="b">
        <v>1</v>
      </c>
      <c r="L47" s="2">
        <v>1</v>
      </c>
      <c r="M47" s="2">
        <v>0</v>
      </c>
      <c r="N47" s="2">
        <v>0</v>
      </c>
      <c r="O47" s="2" t="b">
        <v>1</v>
      </c>
    </row>
    <row r="48" spans="1:15" ht="42" x14ac:dyDescent="0.25">
      <c r="A48" s="2" t="s">
        <v>105</v>
      </c>
      <c r="B48" s="2" t="s">
        <v>99</v>
      </c>
      <c r="C48" s="2" t="s">
        <v>100</v>
      </c>
      <c r="D48" s="2" t="s">
        <v>101</v>
      </c>
      <c r="J48" s="2">
        <v>1</v>
      </c>
      <c r="K48" s="2" t="b">
        <v>1</v>
      </c>
      <c r="L48" s="2">
        <v>1</v>
      </c>
      <c r="M48" s="2">
        <v>0</v>
      </c>
      <c r="N48" s="2">
        <v>0</v>
      </c>
      <c r="O48" s="2" t="b">
        <v>1</v>
      </c>
    </row>
    <row r="49" spans="1:15" ht="42" x14ac:dyDescent="0.25">
      <c r="A49" s="2" t="s">
        <v>106</v>
      </c>
      <c r="B49" s="2" t="s">
        <v>99</v>
      </c>
      <c r="C49" s="2" t="s">
        <v>100</v>
      </c>
      <c r="D49" s="2" t="s">
        <v>101</v>
      </c>
      <c r="J49" s="2">
        <v>1</v>
      </c>
      <c r="K49" s="2" t="b">
        <v>1</v>
      </c>
      <c r="L49" s="2">
        <v>1</v>
      </c>
      <c r="M49" s="2">
        <v>0</v>
      </c>
      <c r="N49" s="2">
        <v>0</v>
      </c>
      <c r="O49" s="2" t="b">
        <v>1</v>
      </c>
    </row>
    <row r="50" spans="1:15" ht="56" x14ac:dyDescent="0.25">
      <c r="A50" s="2" t="s">
        <v>107</v>
      </c>
      <c r="B50" s="2" t="s">
        <v>99</v>
      </c>
      <c r="C50" s="2" t="s">
        <v>100</v>
      </c>
      <c r="D50" s="2" t="s">
        <v>101</v>
      </c>
      <c r="J50" s="2">
        <v>1</v>
      </c>
      <c r="K50" s="2" t="b">
        <v>1</v>
      </c>
      <c r="L50" s="2">
        <v>1</v>
      </c>
      <c r="M50" s="2">
        <v>0</v>
      </c>
      <c r="N50" s="2">
        <v>0</v>
      </c>
      <c r="O50" s="2" t="b">
        <v>1</v>
      </c>
    </row>
    <row r="51" spans="1:15" ht="42" x14ac:dyDescent="0.25">
      <c r="A51" s="2" t="s">
        <v>108</v>
      </c>
      <c r="B51" s="2" t="s">
        <v>99</v>
      </c>
      <c r="C51" s="2" t="s">
        <v>100</v>
      </c>
      <c r="D51" s="2" t="s">
        <v>101</v>
      </c>
      <c r="J51" s="2">
        <v>1</v>
      </c>
      <c r="K51" s="2" t="b">
        <v>1</v>
      </c>
      <c r="L51" s="2">
        <v>1</v>
      </c>
      <c r="M51" s="2">
        <v>0</v>
      </c>
      <c r="N51" s="2">
        <v>0</v>
      </c>
      <c r="O51" s="2" t="b">
        <v>1</v>
      </c>
    </row>
    <row r="53" spans="1:15" x14ac:dyDescent="0.25">
      <c r="A53" s="2" t="s">
        <v>109</v>
      </c>
      <c r="E53" s="2">
        <f>AVERAGEIFS(E2:E51,K2:K51,FALSE)</f>
        <v>0.88095238095238093</v>
      </c>
      <c r="F53" s="2">
        <f>AVERAGEIFS(F2:F51,K2:K51,FALSE)</f>
        <v>0.95238095238095233</v>
      </c>
      <c r="G53" s="2">
        <f>AVERAGEIFS(G2:G51,K2:K51,FALSE)</f>
        <v>0.95238095238095233</v>
      </c>
      <c r="H53" s="2">
        <f>AVERAGEIFS(H2:H51,K2:K51,FALSE)</f>
        <v>0.90873015873015883</v>
      </c>
      <c r="I53" s="4">
        <f>AVERAGEIFS(I2:I51,K2:K51,FALSE)</f>
        <v>0.9305714285714286</v>
      </c>
      <c r="J53" s="2">
        <f>AVERAGE(J2:J51)</f>
        <v>0.92348000000000008</v>
      </c>
      <c r="L53" s="2">
        <f>AVERAGE(L2:L51)</f>
        <v>1.94</v>
      </c>
      <c r="M53" s="2">
        <f>AVERAGE(M2:M51)</f>
        <v>0.04</v>
      </c>
      <c r="N53" s="2">
        <f>AVERAGE(N2:N51)</f>
        <v>0.32</v>
      </c>
    </row>
    <row r="54" spans="1:15" x14ac:dyDescent="0.25">
      <c r="A54" s="2" t="s">
        <v>110</v>
      </c>
      <c r="B54" s="2" t="s">
        <v>15</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1</v>
      </c>
      <c r="J54" s="2">
        <f>AVERAGEIF(B2:B51,"定义类",J2:J51)</f>
        <v>0.91983333333333317</v>
      </c>
      <c r="L54" s="2">
        <f>AVERAGEIF(B2:B51,"定义类",L2:L51)</f>
        <v>2.25</v>
      </c>
      <c r="M54" s="2">
        <f>AVERAGEIF(B2:B51,"定义类",M2:M51)</f>
        <v>0</v>
      </c>
      <c r="N54" s="2">
        <f>AVERAGEIF(B2:B51,"定义类",N2:N51)</f>
        <v>0.41666666666666669</v>
      </c>
    </row>
    <row r="55" spans="1:15" ht="28" x14ac:dyDescent="0.25">
      <c r="A55" s="2" t="s">
        <v>111</v>
      </c>
      <c r="B55" s="2" t="s">
        <v>38</v>
      </c>
      <c r="E55" s="2">
        <f>AVERAGEIFS(E2:E51,B2:B51,"方法细节类",K2:K51,FALSE)</f>
        <v>0.90909090909090906</v>
      </c>
      <c r="F55" s="2">
        <f>AVERAGEIFS(F2:F51,B2:B51,"方法细节类",K2:K51,FALSE)</f>
        <v>1</v>
      </c>
      <c r="G55" s="2">
        <f>AVERAGEIFS(G2:G51,B2:B51,"方法细节类",K2:K51,FALSE)</f>
        <v>1</v>
      </c>
      <c r="H55" s="2">
        <f>AVERAGEIFS(H2:H51,B2:B51,"方法细节类",K2:K51,FALSE)</f>
        <v>0.95454545454545459</v>
      </c>
      <c r="I55" s="4">
        <f>AVERAGEIFS(I2:I51,B2:B51,"方法细节类",K2:K51,FALSE)</f>
        <v>0.87881818181818183</v>
      </c>
      <c r="J55" s="2">
        <f>AVERAGEIF(B2:B51,"方法细节类",J2:J51)</f>
        <v>0.90918181818181809</v>
      </c>
      <c r="L55" s="2">
        <f>AVERAGEIF(B2:B51,"方法细节类",L2:L51)</f>
        <v>2.1818181818181817</v>
      </c>
      <c r="M55" s="2">
        <f>AVERAGEIF(B2:B51,"方法细节类",M2:M51)</f>
        <v>9.0909090909090912E-2</v>
      </c>
      <c r="N55" s="2">
        <f>AVERAGEIF(B2:B51,"方法细节类",N2:N51)</f>
        <v>0.18181818181818182</v>
      </c>
    </row>
    <row r="56" spans="1:15" ht="28" x14ac:dyDescent="0.25">
      <c r="A56" s="2" t="s">
        <v>112</v>
      </c>
      <c r="B56" s="2" t="s">
        <v>58</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1</v>
      </c>
      <c r="J56" s="2">
        <f>AVERAGEIF(B2:B51,"实验结果类",J2:J51)</f>
        <v>0.96972727272727266</v>
      </c>
      <c r="L56" s="2">
        <f>AVERAGEIF(B2:B51,"实验结果类",L2:L51)</f>
        <v>2</v>
      </c>
      <c r="M56" s="2">
        <f>AVERAGEIF(B2:B51,"实验结果类",M2:M51)</f>
        <v>0</v>
      </c>
      <c r="N56" s="2">
        <f>AVERAGEIF(B2:B51,"实验结果类",N2:N51)</f>
        <v>9.0909090909090912E-2</v>
      </c>
    </row>
    <row r="57" spans="1:15" ht="28" x14ac:dyDescent="0.25">
      <c r="A57" s="2" t="s">
        <v>113</v>
      </c>
      <c r="B57" s="2" t="s">
        <v>81</v>
      </c>
      <c r="E57" s="2">
        <f>AVERAGEIFS(E2:E51,B2:B51,"跨论文比较类",K2:K51,FALSE)</f>
        <v>0.625</v>
      </c>
      <c r="F57" s="2">
        <f>AVERAGEIFS(F2:F51,B2:B51,"跨论文比较类",K2:K51,FALSE)</f>
        <v>0.875</v>
      </c>
      <c r="G57" s="2">
        <f>AVERAGEIFS(G2:G51,B2:B51,"跨论文比较类",K2:K51,FALSE)</f>
        <v>0.875</v>
      </c>
      <c r="H57" s="2">
        <f>AVERAGEIFS(H2:H51,B2:B51,"跨论文比较类",K2:K51,FALSE)</f>
        <v>0.70833333333333326</v>
      </c>
      <c r="I57" s="4">
        <f>AVERAGEIFS(I2:I51,B2:B51,"跨论文比较类",K2:K51,FALSE)</f>
        <v>0.80212499999999998</v>
      </c>
      <c r="J57" s="2">
        <f>AVERAGEIF(B2:B51,"跨论文比较类",J2:J51)</f>
        <v>0.80849999999999989</v>
      </c>
      <c r="L57" s="2">
        <f>AVERAGEIF(B2:B51,"跨论文比较类",L2:L51)</f>
        <v>2</v>
      </c>
      <c r="M57" s="2">
        <f>AVERAGEIF(B2:B51,"跨论文比较类",M2:M51)</f>
        <v>0.125</v>
      </c>
      <c r="N57" s="2">
        <f>AVERAGEIF(B2:B51,"跨论文比较类",N2:N51)</f>
        <v>1</v>
      </c>
    </row>
    <row r="58" spans="1:15" ht="28" x14ac:dyDescent="0.25">
      <c r="A58" s="2" t="s">
        <v>114</v>
      </c>
      <c r="B58" s="2" t="s">
        <v>99</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2026-06-02T14:45:59Z</dcterms:created>
  <dcterms:modified xsi:type="dcterms:W3CDTF">2026-06-10T13:29:02Z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81cd6300-eca1-4a41-ad02-1eb00c02ca80</vt:lpwstr>
  </property>
</Properties>
</file>