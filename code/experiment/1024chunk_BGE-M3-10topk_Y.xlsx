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D6D3C062-66C1-4434-86FF-FACE2172478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<sst xmlns="http://schemas.openxmlformats.org/spreadsheetml/2006/main" count="226" uniqueCount="163">
  <si>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</si>
  <si>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</si>
  <si>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</si>
  <si>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</si>
  <si>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</si>
  <si>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</si>
  <si>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</si>
  <si>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</si>
  <si>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</si>
  <si>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</si>
  <si>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</si>
  <si>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</si>
  <si>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</si>
  <si>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</si>
  <si>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</si>
  <si>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</si>
  <si>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</si>
  <si>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</si>
  <si>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Fine-tuning）、强化学习（Reinforcement Learning）和测试时计算（Test-time Compute）。
来自: [2025.acl-long.140_A Survey of Post-Training Scaling in Large Language Models, 第2页, 2025.acl-long.140_A Survey of Post-Training Scaling in Large Language Models_chunk_002]</t>
  </si>
  <si>
    <t>在SafeRAG中"silver noise"的定义是什么？</t>
  </si>
  <si>
    <t>首先，我们定义了“银色噪声”，它指的是仅部分包含答案的证据文本。此类噪声能够绕过大多数安全过滤机制，从而削弱 RAG 的多样性。</t>
  </si>
  <si>
    <t>Silver noise 是指包含部分但不完整答案的噪声。
来自: [2025.acl-long.230_SafeRAG, 第3页, 2025.acl-long.230_SafeRAG_chunk_004]</t>
  </si>
  <si>
    <t>RAG噪声被分为哪两类？</t>
  </si>
  <si>
    <t>RAG噪声被分为有益噪声和有害噪声。</t>
  </si>
  <si>
    <t>RAG噪声被分为有益噪声（beneficial noise）和有害噪声（harmful noise）两类。
来自: [2025.acl-long.250_Pandora s Box or Aladdin s Lamp, 第2页, 2025.acl-long.250_Pandora s Box or Aladdin s Lamp_chunk_001]</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</si>
  <si>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</si>
  <si>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</si>
  <si>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Ref-Long是一个评估长上下文语言模型（LCLMs）长上下文引用能力的基准，要求模型不仅从长上下文中检索特定键，还要识别所有引用该键的文档索引。
来自: [2025.acl-long.1162_Ref-Long, 第1页, 2025.acl-long.1162_Ref-Long_chunk_000]
来自: [2025.acl-long.1162_Ref-Long, 第2页, 2025.acl-long.1162_Ref-Long_chunk_001]</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</si>
  <si>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</si>
  <si>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</si>
  <si>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SYNQA是一种生成式方法，通过使用维基百科句子并提示大型语言模型生成完全由这些句子支持的问题-答案对，来合成上下文归因训练数据。
来自: [2025.acl-long.828_On Synthesizing Data for Context Attribution in Question Answering, 第2页, 2025.acl-long.828_On Synthesizing Data for Context Attribution in Question Answering_chunk_001]</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</si>
  <si>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</si>
  <si>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</si>
  <si>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AgenticLU是一个旨在通过将有针对性的自我澄清与上下文基础整合到智能体工作流中，来增强大型语言模型对复杂长上下文问题理解的框架。
来自: [2025.acl-long.275_Self-Taught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</si>
  <si>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</si>
  <si>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</si>
  <si>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Reasoning是一个通过将外部基于LLM的代理作为工具集成到推理过程中来增强推理的框架，允许LLM在推理时将特定任务委托给辅助代理，从而提升整体问题解决能力。
来自: [2025.acl-long.1383_Agentic Reasoning, 第1页, 2025.acl-long.1383_Agentic Reasoning_chunk_001]</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</si>
  <si>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</si>
  <si>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</si>
  <si>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多模态文档，(ii) 增强难度，(iii) 现实 RAG 查询，(iv) 准确标注。
来自: [2025.acl-long.1528_REAL-MM-RAG, 第1页, 2025.acl-long.1528_REAL-MM-RAG_chunk_000]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</si>
  <si>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</si>
  <si>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</si>
  <si>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 是一种新颖的检索增强生成（RAG）方法，它自适应地从大语言模型内部知识中提取关键信息，以源感知的方式迭代整合内部与外部知识，并依据信息可靠性确定最终答案。其用途是克服不完美检索增强带来的负面影响，解决大语言模型内部知识与外部检索知识之间的冲突，从而提升 RAG 系统在检索质量不佳甚至最坏情况下的鲁棒性与答案的准确可靠性。
来自: [2025.acl-long.1476_Astute RAG, 第1页, 2025.acl-long.1476_Astute RAG_chunk_000]；[2025.acl-long.1476_Astute RAG, 第4页, 2025.acl-long.1476_Astute RAG_chunk_004]；[2025.acl-long.1476_Astute RAG, 第2页, 2025.acl-long.1476_Astute RAG_chunk_002]</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</si>
  <si>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</si>
  <si>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</si>
  <si>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 是一个即用型评估套件，用于同时评估长上下文模型在长上下文理解任务中的生成质量和忠实度（fidelity）。
来自: [2025.acl-long.263_L-CiteEval, 第1页, 2025.acl-long.263_L-CiteEval_chunk_000]</t>
  </si>
  <si>
    <t xml:space="preserve"> LongBench v2基准测试包含多少个问题？上下文长度范围是多少？</t>
  </si>
  <si>
    <t>LongBench v2包含503个具有挑战性的多项选择题，上下文长度范围从8,000到200万个单词。</t>
  </si>
  <si>
    <t>LongBench v2 包含 503 个问题，上下文长度范围从 8k 到 2M 词。
来自: [2025.acl-long.183_LongBench v2, 第1页, 2025.acl-long.183_LongBench v2_chunk_000]</t>
  </si>
  <si>
    <t>RHIO框架的三个主要组成部分是什么？</t>
  </si>
  <si>
    <t>RHIO框架包含三个主要组件：1.不忠实数据增强, 2.忠实度感知调优, 3.自诱导解码</t>
  </si>
  <si>
    <t>RHIO框架的三个主要组成部分是：不忠实数据增强（unfaithful data augmentation）、忠实性感知调优（faithfulness-aware tuning）和自诱导解码（self-induced decoding）。
来自: [2025.acl-long.826_Improving Contextual Faithfulness of Large Language Models via Retrieval Heads-Induced Optimization, 第14页, 2025.acl-long.826_Improving Contextual Faithfulness of Large Language Models via Retrieval Heads-Induced Optimization_chunk_014]</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</si>
  <si>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</si>
  <si>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</si>
  <si>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</si>
  <si>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论文作者发现，在监督微调（SFT）阶段，仅使用短上下文指令数据集（特别是UltraChat）就能在长上下文任务上取得最佳性能，而添加合成数据反而会损害性能。
来自: [2025.acl-long.366_How to Train Long-Context Language Models (Effectively), 第6页, 2025.acl-long.366_How to Train Long-Context Language Models (Effectively)_chunk_007]
来自: [2025.acl-long.366_How to Train Long-Context Language Models (Effectively), 第5页, 2025.acl-long.366_How to Train Long-Context Language Models (Effectively)_chunk_006]</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</si>
  <si>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</si>
  <si>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</si>
  <si>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ASTUTE RAG 的三个主要步骤为：自适应生成内部知识（adaptive generation of internal knowledge）、源感知知识整合（source-aware knowledge consolidation）和答案最终确定（answer finalization）。
来自: [2025.acl-long.1476_Astute RAG, 第4页, 2025.acl-long.1476_Astute RAG_chunk_004]</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</si>
  <si>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</si>
  <si>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</si>
  <si>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通过将推理过程分为离线阶段和在线阶段来降低在线延迟：离线阶段预先执行文档结构化任务，在线阶段仅处理查询分析和自适应精炼，从而大幅减少在线处理时间。
来自: [2025.acl-long.176_Hierarchical Document Refinement for Long-context Retrieval-augmented Generation, 第6页, 2025.acl-long.176_Hierarchical Document Refinement for Long-context Retrieval-augmented Generation_chunk_006]</t>
  </si>
  <si>
    <t>DRAG框架如何保护用户隐私？请描述其隐私保护机制。</t>
  </si>
  <si>
    <t>DRAG通过传输去标识化的查询和结构化知识而不是完整响应来保护用户隐私。这样可以避免传输完整的用户查询和敏感信息。</t>
  </si>
  <si>
    <t>DRAG框架通过本地学生模型（SLM）对用户查询进行隐私过滤，再与云端大模型交互，从而保护用户隐私。具体机制是：本地SLM首先重新表述原始查询，剥离其中的敏感信息（如个人身份信息），然后将这个去标识化的查询发送给云端大模型。云端大模型仅基于此查询生成相关证据和知识图谱，并返回给本地SLM。最终，本地SLM利用这些结构化知识生成最终答案，确保用户的原始隐私数据不会离开本地设备。
来自: [2025.acl-long.358_DRAG, 第4页, 2025.acl-long.358_DRAG_chunk_004]</t>
  </si>
  <si>
    <t>简述 Think&amp; Cite 框架中 SG-MCTS 的工作流程及其步骤。</t>
  </si>
  <si>
    <t>SG-MCTS利用LLMs的自反思能力来推理MCTS的中间状态，以指导树扩展过程。在每次迭代中，SG-MCTS 遵循四个步骤，即选择、反思引导的扩展、评估和反向传播。</t>
  </si>
  <si>
    <t>SG-MCTS 的工作流程每轮迭代包含四个步骤：选择、反思引导的扩展、评估和反向传播。选择阶段利用 UCT 算法从搜索树中选出最优节点；反思引导的扩展阶段通过“思考-表达-引用”过程生成后继节点，并引入反思步骤对初始查询进行批评和修正，以检索更相关的证据；评估阶段使用进度奖励模型从生成质量和归因一致性两方面计算节点奖励；反向传播阶段将奖励向上更新路径上各节点的统计值。
来自: [2025.acl-long.490_Think&amp;Cite, 第3页, 2025.acl-long.490_Think&amp;Cite_chunk_002] 和 [2025.acl-long.490_Think&amp;Cite, 第4页, 2025.acl-long.490_Think&amp;Cite_chunk_003]</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</si>
  <si>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</si>
  <si>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</si>
  <si>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的段落选择提示引导的关键过程包含以下三个步骤：
1.  **列举信息需求**：分解输入问题，列出回答该问题所需的关键信息需求。
2.  **匹配相关段落**：针对第一步中的每个信息需求，找出包含相关信息的候选段落。
3.  **选择最优子集**：从候选段落中选择一个子集，该子集能共同提供最全面、最多样化的信息覆盖，以有效回答查询。
来自: [2025.acl-long.861_Shifting from Ranking to Set Selection for Retrieval Augmented Generation, 第3页, 2025.acl-long.861_Shifting from Ranking to Set Selection for Retrieval Augmented Generation_chunk_003]</t>
  </si>
  <si>
    <t>Meta-Bench基准测试中，α参数的最优范围是多少？这个参数的作用是什么？</t>
  </si>
  <si>
    <t>α参数的最优范围在0.65到0.8之间。这个参数用于平衡工具描述和参数描述在工具检索中的权重。</t>
  </si>
  <si>
    <t>根据已有信息，无法回答此问题。</t>
  </si>
  <si>
    <t>CypherBench 是如何从 RDF 图生成领域特定属性图的？</t>
  </si>
  <si>
    <t>CypherBench 通过将 RDF 图转换为多个领域特定的属性图（domain-specific property graphs）来实现这一过程，并使用 Cypher 语言对其进行查询。</t>
  </si>
  <si>
    <t>CypherBench 通过两个主要步骤从 RDF 图生成领域特定的属性图：  
1. **手动策划领域模式**：针对选定领域，人工定义属性图的模式（包括实体类型、关系类型及其属性），并建立从 Wikidata 标识符（QID 和 PID）到该模式的映射。  
2. **自动 RDF‑到‑属性图转换**：转换引擎根据策划的模式向 Wikidata 发出 SPARQL 查询，获取所有符合模式的实体和关系，并执行数据类型转换、单位标准化和排名过滤，最终输出模式强制、类型严格的属性图。
来自: [2025.acl-long.438_CypherBench, 第4页, 2025.acl-long.438_CypherBench_chunk_004]  
来自: [2025.acl-long.438_CypherBench, 第3页, 2025.acl-long.438_CypherBench_chunk_003]</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</si>
  <si>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</si>
  <si>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</si>
  <si>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是一个逐步整合文本、数值和结构化领域知识的过程：第一阶段仅基于医疗笔记训练小语言模型，使其生成诊断和基于笔记的理由；第二阶段引入知识增强注意力模块，将数值化实验室检测数据与结构化医学知识对齐，以蒸馏基于实验室检测的理由；第三阶段完全整合文本和数值输入，使模型生成临床连贯的多模态理由。
来自: [2025.acl-long.540_Knowledge-Augmented Multimodal Clinical Rationale Generation for Disease Diagnosis with Small Language Models, 第3页, 2025.acl-long.540_Knowledge-Augmented Multimodal Clinical Rationale Generation for Disease Diagnosis with Small Language Models_chunk_003]
来自: [2025.acl-long.540_Knowledge-Augmented Multimodal Clinical Rationale Generation for Disease Diagnosis with Small Language Models, 第4页, 2025.acl-long.540_Knowledge-Augmented Multimodal Clinical Rationale Generation for Disease Diagnosis with Small Language Models_chunk_004]</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</si>
  <si>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</si>
  <si>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</si>
  <si>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两个核心机制解决文档-查询差距：首先，它用潜在查询在嵌入空间中的期望（聚类中心）作为文档嵌入的鲁棒替代，从而在语义上对齐查询和文档；其次，它引入文档指纹策略，将文档的独特身份重新注入表示中，以保持文档间的区分度。
来自: [2025.acl-long.217_QAEncoder, 第1页, 2025.acl-long.217_QAEncoder_chunk_000]、[2025.acl-long.217_QAEncoder, 第3页, 2025.acl-long.217_QAEncoder_chunk_003]、[2025.acl-long.217_QAEncoder, 第4页,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</si>
  <si>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</si>
  <si>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</si>
  <si>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 HALOGEN 的文本简化任务中，验证生成文本忠实性的方法与摘要任务相同：首先使用 GPT-3.5 将模型生成的简化文本分解为独立的原子事实，然后使用 Llama-2-70B 对每个原子事实进行蕴含判断，以确定其是否被原文支持。
来自: [2025.acl-long.71_HALoGEN, 第3页, 2025.acl-long.71_HALoGEN_chunk_003] 和 [2025.acl-long.71_HALoGEN, 第4页, 2025.acl-long.71_HALoGEN_chunk_004]</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</si>
  <si>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</si>
  <si>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</si>
  <si>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</si>
  <si>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scenario下，GPT-4o的评分（0.949）高于Llama-3-70B（0.926），表现最佳；而在Full scenario下，Llama-3-70B的评分（0.909）反超GPT-4o（0.898），取得了最优性能。
来自: [2025.acl-long.1574_CiteEval, 第7页, 2025.acl-long.1574_CiteEval_chunk_007] 和 [2025.acl-long.1574_CiteEval, 第7页, 2025.acl-long.1574_CiteEval_chunk_008]</t>
  </si>
  <si>
    <t>"FaithfulRAG"在FaithEval数据集上使用Mistral-7B作为backbone时的准确率是多少？相比最强基线提高了多少？</t>
  </si>
  <si>
    <t>81.7%，比最强基线(KRE的73.2%)提高了8.5%。</t>
  </si>
  <si>
    <t>FaithfulRAG在FaithEval数据集上使用Mistral-7B作为backbone时的准确率为81.7%，相比最强基线（KRE的73.2%）提高了8.5%。
来自: [2025.acl-long.1062_FaithfulRAG, 第6页, 2025.acl-long.1062_FaithfulRAG_chunk_007]</t>
  </si>
  <si>
    <t>RankCoT 相对于 vanilla RAG 模型的表现如何？这说明了什么？</t>
  </si>
  <si>
    <t>RankCoT 相比 vanilla RAG 模型有 2.5% 的提升，表明它在提供更有意义的细化方面有效，有助于 LLM 更好地回答问题。</t>
  </si>
  <si>
    <t>RankCoT 相对于 vanilla RAG 模型有显著提升。例如，在使用 Llama3-8B-Instruct 作为骨干模型时，RankCoT 的平均得分比 vanilla RAG 高出约 2.5%（46.93 vs 42.84）；在与更多基线模型比较时，RankCoT 的平均得分也高于 vanilla RAG（54.93 vs 52.65）。这说明 RankCoT 能够提供更有意义的知识精炼，从而帮助大语言模型更好地回答问题。
来自: [2025.acl-long.629_RankCoT, 第6页, 2025.acl-long.629_RankCoT_chunk_008]
来自: [2025.acl-long.629_RankCoT, 第12页, 2025.acl-long.629_RankCoT_chunk_012]</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</si>
  <si>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</si>
  <si>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</si>
  <si>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 生成事实的幻觉率范围是 3% 到 86%，具体取决于领域。
来自: [2025.acl-long.71_HALoGEN, 第5页, 2025.acl-long.71_HALoGEN_chunk_005]</t>
  </si>
  <si>
    <t xml:space="preserve"> 在LongBench v2基准测试中，人类专家在15分钟时间限制下的准确率是多少？</t>
  </si>
  <si>
    <t>人类专家在15分钟时间限制下的准确率为53.7%。</t>
  </si>
  <si>
    <t>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</si>
  <si>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</si>
  <si>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</si>
  <si>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AGENTSTAR在WebShop、ALFWorld和BabyAI任务上均显著优于GPT-4-Turbo，分别高出61.00、20.50和9.87个百分点。
来自: [2025.acl-long.1355_AgentGym, 第6页, 2025.acl-long.1355_AgentGym_chunk_008]</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</si>
  <si>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</si>
  <si>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</si>
  <si>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Reasoning与DeepSeek-R1结合后，准确率从9.4%提升至23.8%，提升了14.4个百分点；与OpenAI Deep Research的差距从17.2%缩小至2.8%。
来自: [2025.acl-long.1383_Agentic Reasoning, 第1页, 2025.acl-long.1383_Agentic Reasoning_chunk_000]</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</si>
  <si>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</si>
  <si>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</si>
  <si>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1上的得分为74.36，Level 2为69.21，Level 3为45.46，平均分为66.13。
来自: [2025.acl-long.1383_Agentic Reasoning, 第5页, 2025.acl-long.1383_Agentic Reasoning_chunk_004]</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</si>
  <si>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</si>
  <si>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</si>
  <si>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在Asclepius基准测试中，人类医生在所有医学专科的诊断准确率上均优于Med‑MLLMs。即使是一位初级医生，其平均准确率（57.4%）也略高于表现最好的Med‑MLLM GPT‑4V（54.3%）。GPT‑4V的表现最接近人类医生，但仍存在差距。此外，人类医生在不同专科间的表现差异较大，而Med‑MLLMs的表现更为均匀。
来自: [2025.acl-long.1178_Asclepius, 第7页, 2025.acl-long.1178_Asclepius_chunk_008]
来自: [2025.acl-long.1178_Asclepius, 第7页, 2025.acl-long.1178_Asclepius_chunk_007]
来自: [2025.acl-long.1178_Asclepius, 第14页, 2025.acl-long.1178_Asclepius_chunk_011]</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</si>
  <si>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</si>
  <si>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</si>
  <si>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是得分最高的模型，达到了64.5分，也是唯一达到及格标准的模型。在开源模型方面，表现最好的是Qwen2-VL，得分为30.6，其次是LLaVA-OneVision（得分22.0和25.0），只有这两款开源模型得分超过了20分。
来自: [2025.acl-long.57_LongDocURL, 第6页, 2025.acl-long.57_LongDocURL_chunk_006] 和 [2025.acl-long.57_LongDocURL, 第1页, 2025.acl-long.57_LongDocURL_chunk_001]</t>
  </si>
  <si>
    <t>RAGEval 提出的自动评估指标与人工评估的一致性如何？</t>
  </si>
  <si>
    <t>实验结果表明，RAGEval 的机器自动评估与人工评估在所有指标上均表现出高度一致性。两者之间的最终绝对差异仅为 1.67%。</t>
  </si>
  <si>
    <t>RAGEval 提出的三个自动评估指标（Completeness、Hallucination 和 Irrelevance）与人工评估之间表现出高度一致性。具体而言，Completeness 的 Spearman 相关系数为 0.8536，Pearson 相关系数为 0.8549；Irrelevance 的 Spearman 相关系数为 0.7589，Pearson 相关系数为 0.7568；Hallucination 的 Spearman 相关系数为 0.7983，Pearson 相关系数为 0.7851。所有结果均具有统计显著性（p &lt; 0.0001）。
来自: [2025.acl-long.418_RAGEval, 第12页, 2025.acl-long.418_RAGEval_chunk_011]</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</si>
  <si>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</si>
  <si>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</si>
  <si>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</si>
  <si>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FaithfulRAG 通过 **Self-Fact Mining（自我事实挖掘）** 模块提取内部知识，该模块包含自我知识提取、自我上下文生成和自我事实提取三个步骤，将模型的参数化知识外化为细粒度的事实级表示。  
Astute RAG 则采用 **自适应内部知识生成（adaptive generation of internal knowledge）** 机制，在宪法原则引导下让 LLM 自行决定生成多少条内部段落，以获取准确、相关且无幻觉的内部知识。
来自: [2025.acl-long.1062_FaithfulRAG, 第3页, 2025.acl-long.1062_FaithfulRAG_chunk_004]  
来自: [2025.acl-long.1476_Astute RAG, 第5页, 2025.acl-long.1476_Astute RAG_chunk_005]</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</si>
  <si>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</si>
  <si>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</si>
  <si>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UniRAG的核心创新在于将查询增强与查询编码统一到一个解码器模型中，消除任务分离，并通过自适应选择最优增强策略（如查询改写、扩展、抽象）来提升检索效果。  
来自: [2025.acl-long.693_UniRAG, 第1页, 2025.acl-long.693_UniRAG_chunk_000] 和 [2025.acl-long.693_UniRAG, 第1页, 2025.acl-long.693_UniRAG_chunk_001]
根据已有信息，无法回答FaithfulRAG在“处理查询理解方面”的核心创新。所提供的FaithfulRAG片段主要聚焦于生成阶段的知识冲突解决（如自我事实挖掘、自我思考模块），未涉及查询理解或查询增强的相关描述。</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</si>
  <si>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</si>
  <si>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</si>
  <si>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MEMERAG和DragonBall都是用于评估RAG系统的基准，但它们的侧重点和构建方式存在差异。
**相同点：**
- 两者都旨在评估RAG系统的生成质量，而非仅仅评估检索环节。
- 两者都包含多语言支持：DragonBall包含中英文，MEMERAG涵盖英、德、西、法、印地语五种语言。
**不同点与各自关注的评估维度：**
- **DragonBall** 是一个场景特定的RAG评估基准，它提出了三个新颖的评估指标，重点关注生成答案的**事实准确性**。这三个维度分别是：
    1.  **完整性 (Completeness)**：衡量生成答案对基准答案中关键信息的覆盖程度。
    2.  **幻觉 (Hallucination)**：评估生成答案中是否存在与事实不符的内容。
    3.  **无关性 (Irrelevance)**：评估生成答案中是否包含与问题无关的信息。
    来自: [2025.acl-long.418_RAGEval, 第2页, 2025.acl-long.418_RAGEval_chunk_001]、[2025.acl-long.418_RAGEval, 第5页, 2025.acl-long.418_RAGEval_chunk_004]
- **MEMERAG** 是一个多语言的端到端元评估基准，其核心是衡量自动评估器与人类判断的相关性。它关注的评估维度是：
    1.  **忠实性 (Faithfulness)**：判断答案是否基于提供的上下文，而非模型自身的世界知识。
    2.  **相关性 (Relevance)**：判断答案是否与提出的问题相关，而不考虑上下文。
    来自: [2025.acl-long.1101_MEMERAG, 第3页, 2025.acl-long.1101_MEMERAG_chunk_003]、[2025.acl-long.1101_MEMERAG, 第1页, 2025.acl-long.1101_MEMERAG_chunk_000]
**核心差异总结：**
DragonBall是一个直接评估RAG系统输出质量的基准，其指标（完整性、幻觉、无关性）直接衡量答案本身的好坏。而MEMERAG是一个**元评估**基准，它通过人类标注的忠实性和相关性标签，来评估那些用于自动评价RAG系统的“评估器”本身是否可靠。此外，DragonBall的数据集是自动生成的，而MEMERAG是基于人工标注构建的。
来自: [2025.acl-long.418_RAGEval, 第2页, 2025.acl-long.418_RAGEval_chunk_001]、[2025.acl-long.1101_MEMERAG, 第1页, 2025.acl-long.1101_MEMERAG_chunk_001]</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</si>
  <si>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</si>
  <si>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</si>
  <si>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通过生成式方法合成训练数据：从 Wikipedia 选取上下文句子，让大语言模型（Llama 70B）生成完全由这些句子支持的问答对，并加入语义相似的干扰文章，从而确保每条数据都有清晰的归因路径。RHIO 则通过遮蔽检索头来生成不忠实样本，模拟模型内在的错误类型，然后将这些不忠实样本与忠实样本一起用于训练，使模型学会区分忠实与不忠实的输出。
在提升归因能力上，两者的策略不同：SYNQA 直接训练一个专门的上下文归因模型，使其能够精确识别支持答案的句子，从而在句子级归因任务上提升精确度和召回率，让小模型甚至超越大模型；RHIO 并不直接做归因，而是通过增强模型对上下文忠实性的感知，在生成过程中抑制不忠实内容，从而提升生成结果的上下文忠实度。
来自: [2025.acl-long.828_On Synthesizing Data for Context Attribution in Question Answering, 第2页, 2025.acl-long.828_On Synthesizing Data for Context Attribution in Question Answering_chunk_002]、[2025.acl-long.828_On Synthesizing Data for Context Attribution in Question Answering, 第2页, 2025.acl-long.828_On Synthesizing Data for Context Attribution in Question Answering_chunk_001]、[2025.acl-long.826_Improving Contextual Faithfulness of Large Language Models via Retrieval Heads-Induced Optimization, 第1页, 2025.acl-long.826_Improving Contextual Faithfulness of Large Language Models via Retrieval Heads-Induced Optimization_chunk_000]、[2025.acl-long.826_Improving Contextual Faithfulness of Large Language Models via Retrieval Heads-Induced Optimization, 第7页, 2025.acl-long.826_Improving Contextual Faithfulness of Large Language Models via Retrieval Heads-Induced Optimization_chunk_008]</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</si>
  <si>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</si>
  <si>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</si>
  <si>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的应用场景是评估大语言模型在真实长上下文多任务中深度理解与推理的能力，涵盖单文档问答、多文档问答、长上下文学习等六类任务。AGENTGYM的应用场景则是评估和训练基于大语言模型的智能体，使其在网页导航、文字游戏、家务任务等七种真实世界场景中执行多轮决策任务。简言之，前者聚焦于静态文本的深度理解与推理评估，后者聚焦于动态交互环境中的智能体行为评估与训练。
来自: [2025.acl-long.183_LongBench v2, 第1页, 2025.acl-long.183_LongBench v2_chunk_000]
来自: [2025.acl-long.1355_AgentGym, 第1页, 2025.acl-long.1355_AgentGym_chunk_000]
来自: [2025.acl-long.1355_AgentGym, 第1页, 2025.acl-long.1355_AgentGym_chunk_001]</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</si>
  <si>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</si>
  <si>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</si>
  <si>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的核心机制是集成外部基于LLM的代理工具（如网页搜索、代码执行和思维导图代理）来增强推理能力。AR-MCTS 的核心机制则是通过主动检索（Active Retrieval）和蒙特卡洛树搜索（MCTS）来逐步提升多模态推理能力。
来自: [2025.acl-long.1383_Agentic Reasoning, 第1页, 2025.acl-long.1383_Agentic Reasoning_chunk_001] 和 [2025.acl-long.180_Progressive Multimodal Reasoning via Active Retrieval, 第1页, 2025.acl-long.180_Progressive Multimodal Reasoning via Active Retrieval_chunk_000]</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</si>
  <si>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</si>
  <si>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</si>
  <si>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采用的核心方法是**免训练的多智能体协同过滤**：通过多个 LLM 智能体对检索文档进行协同评分与排序，并引入一个**自适应阈值机制**，根据文档得分分布动态调整过滤门槛，从而在无需额外训练的情况下滤除噪声文档、提升生成可靠性。  
RAG‑Critic 采用的核心方法是**基于批评模型的智能体工作流**：先通过数据驱动的错误挖掘构建分层错误体系，再训练一个轻量级错误批评模型，自动给出细粒度错误反馈，并以此指导智能体工作流进行**错误驱动的修正**，从而增强 RAG 系统的可靠性。
来自: [2025.acl-long.131_MAIN-RAG, 第1页, 2025.acl-long.131_MAIN-RAG_chunk_001]  
来自: [2025.acl-long.131_MAIN-RAG, 第2页, 2025.acl-long.131_MAIN-RAG_chunk_002]  
来自: [2025.acl-long.179_RAG-Critic, 第9页, 2025.acl-long.179_RAG-Critic_chunk_010]  
来自: [2025.acl-long.179_RAG-Critic, 第8页, 2025.acl-long.179_RAG-Critic_chunk_009]</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</si>
  <si>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</si>
  <si>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</si>
  <si>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QAEncoder侧重于优化QA系统的**检索阶段**，其核心痛点是**文档与用户查询之间的语义鸿沟（document-query gap）**，即文档表示与查询表示不匹配导致难以精准检索到相关文档。
来自: [2025.acl-long.217_QAEncoder, 第1页, 2025.acl-long.217_QAEncoder_chunk_000]
On Synthesizing Data for Context Attribution in Question Answering侧重于优化QA系统的**生成后验证/归因阶段**，其核心痛点是**大语言模型（LLM）的幻觉问题**，即生成的答案可能缺乏事实依据，需要将答案内容归因到上下文中的具体证据，以提升可信度。
来自: [2025.acl-long.828_On Synthesizing Data for Context Attribution in Question Answering, 第1页, 2025.acl-long.828_On Synthesizing Data for Context Attribution in Question Answering_chunk_000]</t>
  </si>
  <si>
    <t>这10篇论文中哪一篇提出了名为"RAG-Guard"的安全防护框架？</t>
  </si>
  <si>
    <t>不可回答类</t>
  </si>
  <si>
    <t>无法回答。</t>
  </si>
  <si>
    <t>"ProLong"模型在训练过程中使用了哪种具体的优化器来处理长序列训练的梯度问题？</t>
  </si>
  <si>
    <t>ProLong模型在训练过程中使用的优化器是AdamW。
来自: [2025.acl-long.366_How to Train Long-Context Language Models (Effectively), 第13页, 2025.acl-long.366_How to Train Long-Context Language Models (Effectively)_chunk_013]</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</si>
  <si>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</si>
  <si>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</si>
  <si>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</si>
  <si>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</si>
  <si>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</si>
  <si>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根据已有信息，论文仅指出Mind-Map agent的实现是基于DeepSeek-V3大语言模型来执行知识图谱构建和检索，但并未披露其具体的神经网络架构细节。
来自: [2025.acl-long.1383_Agentic Reasoning, 第2页, 2025.acl-long.1383_Agentic Reasoning_chunk_002] 和 [2025.acl-long.1383_Agentic Reasoning, 第5页, 2025.acl-long.1383_Agentic Reasoning_chunk_004]</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</si>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</sst>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workbookViewId="0">
      <selection activeCell="S2" sqref="S2"/>
    </sheetView>
  </sheetViews>
  <sheetFormatPr defaultRowHeight="14" x14ac:dyDescent="0.25"/>
  <cols>
    <col min="1" max="1" width="18.1796875" style="2" customWidth="1"/>
    <col min="2" max="2" width="10.08984375" style="2" customWidth="1"/>
    <col min="3" max="4" width="18.17968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409.5" x14ac:dyDescent="0.25">
      <c r="A2" s="2" t="s">
        <v>15</v>
      </c>
      <c r="B2" s="2" t="s">
        <v>16</v>
      </c>
      <c r="C2" s="2" t="s">
        <v>17</v>
      </c>
      <c r="D2" s="2" t="s">
        <v>18</v>
      </c>
      <c r="E2" s="2">
        <v>1</v>
      </c>
      <c r="F2" s="2">
        <v>1</v>
      </c>
      <c r="G2" s="2">
        <v>1</v>
      </c>
      <c r="H2" s="2">
        <v>1</v>
      </c>
      <c r="I2" s="4">
        <v>1</v>
      </c>
      <c r="J2" s="2">
        <v>1</v>
      </c>
      <c r="K2" s="2" t="b">
        <v>0</v>
      </c>
      <c r="L2" s="2">
        <v>3</v>
      </c>
      <c r="M2" s="2">
        <v>0</v>
      </c>
      <c r="N2" s="2">
        <v>0</v>
      </c>
    </row>
    <row r="3" spans="1:15" ht="252" x14ac:dyDescent="0.25">
      <c r="A3" s="2" t="s">
        <v>19</v>
      </c>
      <c r="B3" s="2" t="s">
        <v>16</v>
      </c>
      <c r="C3" s="2" t="s">
        <v>20</v>
      </c>
      <c r="D3" s="2" t="s">
        <v>21</v>
      </c>
      <c r="E3" s="2">
        <v>0</v>
      </c>
      <c r="F3" s="2">
        <v>0</v>
      </c>
      <c r="G3" s="2">
        <v>0</v>
      </c>
      <c r="H3" s="2">
        <v>0</v>
      </c>
      <c r="I3" s="4">
        <v>0</v>
      </c>
      <c r="J3" s="2">
        <v>1</v>
      </c>
      <c r="K3" s="2" t="b">
        <v>0</v>
      </c>
      <c r="L3" s="2">
        <v>1</v>
      </c>
      <c r="M3" s="2">
        <v>0</v>
      </c>
      <c r="N3" s="2">
        <v>0</v>
      </c>
    </row>
    <row r="4" spans="1:15" ht="409.5" x14ac:dyDescent="0.25">
      <c r="A4" s="2" t="s">
        <v>22</v>
      </c>
      <c r="B4" s="2" t="s">
        <v>16</v>
      </c>
      <c r="C4" s="2" t="s">
        <v>23</v>
      </c>
      <c r="D4" s="2" t="s">
        <v>24</v>
      </c>
      <c r="E4" s="2">
        <v>1</v>
      </c>
      <c r="F4" s="2">
        <v>1</v>
      </c>
      <c r="G4" s="2">
        <v>1</v>
      </c>
      <c r="H4" s="2">
        <v>1</v>
      </c>
      <c r="I4" s="4">
        <v>1</v>
      </c>
      <c r="J4" s="2">
        <v>1</v>
      </c>
      <c r="K4" s="2" t="b">
        <v>0</v>
      </c>
      <c r="L4" s="2">
        <v>1</v>
      </c>
      <c r="M4" s="2">
        <v>0</v>
      </c>
      <c r="N4" s="2">
        <v>0</v>
      </c>
    </row>
    <row r="5" spans="1:15" ht="409.5" x14ac:dyDescent="0.25">
      <c r="A5" s="2" t="s">
        <v>25</v>
      </c>
      <c r="B5" s="2" t="s">
        <v>16</v>
      </c>
      <c r="C5" s="2" t="s">
        <v>26</v>
      </c>
      <c r="D5" s="2" t="s">
        <v>27</v>
      </c>
      <c r="E5" s="2">
        <v>1</v>
      </c>
      <c r="F5" s="2">
        <v>1</v>
      </c>
      <c r="G5" s="2">
        <v>1</v>
      </c>
      <c r="H5" s="2">
        <v>1</v>
      </c>
      <c r="I5" s="4">
        <v>1</v>
      </c>
      <c r="J5" s="2">
        <v>1</v>
      </c>
      <c r="K5" s="2" t="b">
        <v>0</v>
      </c>
      <c r="L5" s="2">
        <v>2</v>
      </c>
      <c r="M5" s="2">
        <v>0</v>
      </c>
      <c r="N5" s="2">
        <v>0</v>
      </c>
    </row>
    <row r="6" spans="1:15" ht="409.5" x14ac:dyDescent="0.25">
      <c r="A6" s="2" t="s">
        <v>28</v>
      </c>
      <c r="B6" s="2" t="s">
        <v>16</v>
      </c>
      <c r="C6" s="2" t="s">
        <v>29</v>
      </c>
      <c r="D6" s="2" t="s">
        <v>30</v>
      </c>
      <c r="E6" s="2">
        <v>1</v>
      </c>
      <c r="F6" s="2">
        <v>1</v>
      </c>
      <c r="G6" s="2">
        <v>1</v>
      </c>
      <c r="H6" s="2">
        <v>1</v>
      </c>
      <c r="I6" s="4">
        <v>0</v>
      </c>
      <c r="J6" s="2">
        <v>0.85699999999999998</v>
      </c>
      <c r="K6" s="2" t="b">
        <v>0</v>
      </c>
      <c r="L6" s="2">
        <v>3</v>
      </c>
      <c r="M6" s="2">
        <v>0</v>
      </c>
      <c r="N6" s="2">
        <v>1</v>
      </c>
    </row>
    <row r="7" spans="1:15" ht="409.5" x14ac:dyDescent="0.25">
      <c r="A7" s="2" t="s">
        <v>31</v>
      </c>
      <c r="B7" s="2" t="s">
        <v>16</v>
      </c>
      <c r="C7" s="2" t="s">
        <v>32</v>
      </c>
      <c r="D7" s="2" t="s">
        <v>33</v>
      </c>
      <c r="E7" s="2">
        <v>1</v>
      </c>
      <c r="F7" s="2">
        <v>1</v>
      </c>
      <c r="G7" s="2">
        <v>1</v>
      </c>
      <c r="H7" s="2">
        <v>1</v>
      </c>
      <c r="I7" s="4">
        <v>1</v>
      </c>
      <c r="J7" s="2">
        <v>0.8</v>
      </c>
      <c r="K7" s="2" t="b">
        <v>0</v>
      </c>
      <c r="L7" s="2">
        <v>2</v>
      </c>
      <c r="M7" s="2">
        <v>0</v>
      </c>
      <c r="N7" s="2">
        <v>1</v>
      </c>
    </row>
    <row r="8" spans="1:15" ht="409.5" x14ac:dyDescent="0.25">
      <c r="A8" s="2" t="s">
        <v>34</v>
      </c>
      <c r="B8" s="2" t="s">
        <v>16</v>
      </c>
      <c r="C8" s="2" t="s">
        <v>35</v>
      </c>
      <c r="D8" s="2" t="s">
        <v>36</v>
      </c>
      <c r="E8" s="2">
        <v>1</v>
      </c>
      <c r="F8" s="2">
        <v>1</v>
      </c>
      <c r="G8" s="2">
        <v>1</v>
      </c>
      <c r="H8" s="2">
        <v>1</v>
      </c>
      <c r="I8" s="4">
        <v>1</v>
      </c>
      <c r="J8" s="2">
        <v>1</v>
      </c>
      <c r="K8" s="2" t="b">
        <v>0</v>
      </c>
      <c r="L8" s="2">
        <v>1</v>
      </c>
      <c r="M8" s="2">
        <v>0</v>
      </c>
      <c r="N8" s="2">
        <v>0</v>
      </c>
    </row>
    <row r="9" spans="1:15" ht="406" x14ac:dyDescent="0.25">
      <c r="A9" s="2" t="s">
        <v>37</v>
      </c>
      <c r="B9" s="2" t="s">
        <v>16</v>
      </c>
      <c r="C9" s="2" t="s">
        <v>38</v>
      </c>
      <c r="D9" s="2" t="s">
        <v>39</v>
      </c>
      <c r="E9" s="2">
        <v>1</v>
      </c>
      <c r="F9" s="2">
        <v>1</v>
      </c>
      <c r="G9" s="2">
        <v>1</v>
      </c>
      <c r="H9" s="2">
        <v>1</v>
      </c>
      <c r="I9" s="4">
        <v>1</v>
      </c>
      <c r="J9" s="2">
        <v>1</v>
      </c>
      <c r="K9" s="2" t="b">
        <v>0</v>
      </c>
      <c r="L9" s="2">
        <v>4</v>
      </c>
      <c r="M9" s="2">
        <v>0</v>
      </c>
      <c r="N9" s="2">
        <v>0</v>
      </c>
    </row>
    <row r="10" spans="1:15" ht="409.5" x14ac:dyDescent="0.25">
      <c r="A10" s="2" t="s">
        <v>40</v>
      </c>
      <c r="B10" s="2" t="s">
        <v>16</v>
      </c>
      <c r="C10" s="2" t="s">
        <v>41</v>
      </c>
      <c r="D10" s="2" t="s">
        <v>42</v>
      </c>
      <c r="E10" s="2">
        <v>1</v>
      </c>
      <c r="F10" s="2">
        <v>1</v>
      </c>
      <c r="G10" s="2">
        <v>1</v>
      </c>
      <c r="H10" s="2">
        <v>1</v>
      </c>
      <c r="I10" s="4">
        <v>1</v>
      </c>
      <c r="J10" s="2">
        <v>1</v>
      </c>
      <c r="K10" s="2" t="b">
        <v>0</v>
      </c>
      <c r="L10" s="2">
        <v>4</v>
      </c>
      <c r="M10" s="2">
        <v>0</v>
      </c>
      <c r="N10" s="2">
        <v>0</v>
      </c>
    </row>
    <row r="11" spans="1:15" ht="409.5" x14ac:dyDescent="0.25">
      <c r="A11" s="2" t="s">
        <v>43</v>
      </c>
      <c r="B11" s="2" t="s">
        <v>16</v>
      </c>
      <c r="C11" s="2" t="s">
        <v>44</v>
      </c>
      <c r="D11" s="2" t="s">
        <v>45</v>
      </c>
      <c r="E11" s="2">
        <v>1</v>
      </c>
      <c r="F11" s="2">
        <v>1</v>
      </c>
      <c r="G11" s="2">
        <v>1</v>
      </c>
      <c r="H11" s="2">
        <v>1</v>
      </c>
      <c r="I11" s="4">
        <v>1</v>
      </c>
      <c r="J11" s="2">
        <v>0.66700000000000004</v>
      </c>
      <c r="K11" s="2" t="b">
        <v>0</v>
      </c>
      <c r="L11" s="2">
        <v>2</v>
      </c>
      <c r="M11" s="2">
        <v>0</v>
      </c>
      <c r="N11" s="2">
        <v>2</v>
      </c>
    </row>
    <row r="12" spans="1:15" ht="308"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409.5" x14ac:dyDescent="0.25">
      <c r="A14" s="2" t="s">
        <v>52</v>
      </c>
      <c r="B14" s="2" t="s">
        <v>53</v>
      </c>
      <c r="C14" s="2" t="s">
        <v>54</v>
      </c>
      <c r="D14" s="2" t="s">
        <v>55</v>
      </c>
      <c r="E14" s="2">
        <v>1</v>
      </c>
      <c r="F14" s="2">
        <v>1</v>
      </c>
      <c r="G14" s="2">
        <v>1</v>
      </c>
      <c r="H14" s="2">
        <v>1</v>
      </c>
      <c r="I14" s="4">
        <v>0</v>
      </c>
      <c r="J14" s="2">
        <v>1</v>
      </c>
      <c r="K14" s="2" t="b">
        <v>0</v>
      </c>
      <c r="L14" s="2">
        <v>1</v>
      </c>
      <c r="M14" s="2">
        <v>0</v>
      </c>
      <c r="N14" s="2">
        <v>0</v>
      </c>
    </row>
    <row r="15" spans="1:15" ht="409.5" x14ac:dyDescent="0.25">
      <c r="A15" s="2" t="s">
        <v>56</v>
      </c>
      <c r="B15" s="2" t="s">
        <v>53</v>
      </c>
      <c r="C15" s="2" t="s">
        <v>57</v>
      </c>
      <c r="D15" s="2" t="s">
        <v>58</v>
      </c>
      <c r="E15" s="2">
        <v>1</v>
      </c>
      <c r="F15" s="2">
        <v>1</v>
      </c>
      <c r="G15" s="2">
        <v>1</v>
      </c>
      <c r="H15" s="2">
        <v>1</v>
      </c>
      <c r="I15" s="4">
        <v>1</v>
      </c>
      <c r="J15" s="2">
        <v>0</v>
      </c>
      <c r="K15" s="2" t="b">
        <v>0</v>
      </c>
      <c r="L15" s="2">
        <v>0</v>
      </c>
      <c r="M15" s="2">
        <v>3</v>
      </c>
      <c r="N15" s="2">
        <v>3</v>
      </c>
    </row>
    <row r="16" spans="1:15" ht="409.5" x14ac:dyDescent="0.25">
      <c r="A16" s="2" t="s">
        <v>59</v>
      </c>
      <c r="B16" s="2" t="s">
        <v>53</v>
      </c>
      <c r="C16" s="2" t="s">
        <v>60</v>
      </c>
      <c r="D16" s="2" t="s">
        <v>61</v>
      </c>
      <c r="E16" s="2">
        <v>1</v>
      </c>
      <c r="F16" s="2">
        <v>1</v>
      </c>
      <c r="G16" s="2">
        <v>1</v>
      </c>
      <c r="H16" s="2">
        <v>1</v>
      </c>
      <c r="I16" s="4">
        <v>1</v>
      </c>
      <c r="J16" s="2">
        <v>0.8</v>
      </c>
      <c r="K16" s="2" t="b">
        <v>0</v>
      </c>
      <c r="L16" s="2">
        <v>2</v>
      </c>
      <c r="M16" s="2">
        <v>0</v>
      </c>
      <c r="N16" s="2">
        <v>1</v>
      </c>
    </row>
    <row r="17" spans="1:14" ht="409.5" x14ac:dyDescent="0.25">
      <c r="A17" s="2" t="s">
        <v>62</v>
      </c>
      <c r="B17" s="2" t="s">
        <v>53</v>
      </c>
      <c r="C17" s="2" t="s">
        <v>63</v>
      </c>
      <c r="D17" s="2" t="s">
        <v>64</v>
      </c>
      <c r="E17" s="2">
        <v>1</v>
      </c>
      <c r="F17" s="2">
        <v>1</v>
      </c>
      <c r="G17" s="2">
        <v>1</v>
      </c>
      <c r="H17" s="2">
        <v>1</v>
      </c>
      <c r="I17" s="4">
        <v>1</v>
      </c>
      <c r="J17" s="2">
        <v>0.66700000000000004</v>
      </c>
      <c r="K17" s="2" t="b">
        <v>0</v>
      </c>
      <c r="L17" s="2">
        <v>1</v>
      </c>
      <c r="M17" s="2">
        <v>0</v>
      </c>
      <c r="N17" s="2">
        <v>1</v>
      </c>
    </row>
    <row r="18" spans="1:14" ht="409.5" x14ac:dyDescent="0.25">
      <c r="A18" s="2" t="s">
        <v>65</v>
      </c>
      <c r="B18" s="2" t="s">
        <v>53</v>
      </c>
      <c r="C18" s="2" t="s">
        <v>66</v>
      </c>
      <c r="D18" s="2" t="s">
        <v>67</v>
      </c>
      <c r="E18" s="2">
        <v>1</v>
      </c>
      <c r="F18" s="2">
        <v>1</v>
      </c>
      <c r="G18" s="2">
        <v>1</v>
      </c>
      <c r="H18" s="2">
        <v>1</v>
      </c>
      <c r="I18" s="4">
        <v>1</v>
      </c>
      <c r="J18" s="2">
        <v>1</v>
      </c>
      <c r="K18" s="2" t="b">
        <v>0</v>
      </c>
      <c r="L18" s="2">
        <v>4</v>
      </c>
      <c r="M18" s="2">
        <v>0</v>
      </c>
      <c r="N18" s="2">
        <v>0</v>
      </c>
    </row>
    <row r="19" spans="1:14" ht="409.5" x14ac:dyDescent="0.25">
      <c r="A19" s="2" t="s">
        <v>68</v>
      </c>
      <c r="B19" s="2" t="s">
        <v>53</v>
      </c>
      <c r="C19" s="2" t="s">
        <v>69</v>
      </c>
      <c r="D19" s="2" t="s">
        <v>70</v>
      </c>
      <c r="E19" s="2">
        <v>0</v>
      </c>
      <c r="F19" s="2">
        <v>1</v>
      </c>
      <c r="G19" s="2">
        <v>1</v>
      </c>
      <c r="H19" s="2">
        <v>0.33333333333333331</v>
      </c>
      <c r="I19" s="4">
        <v>1</v>
      </c>
      <c r="J19" s="2">
        <v>1</v>
      </c>
      <c r="K19" s="2" t="b">
        <v>0</v>
      </c>
      <c r="L19" s="2">
        <v>3</v>
      </c>
      <c r="M19" s="2">
        <v>0</v>
      </c>
      <c r="N19" s="2">
        <v>0</v>
      </c>
    </row>
    <row r="20" spans="1:14" ht="154" x14ac:dyDescent="0.25">
      <c r="A20" s="2" t="s">
        <v>71</v>
      </c>
      <c r="B20" s="2" t="s">
        <v>53</v>
      </c>
      <c r="C20" s="2" t="s">
        <v>72</v>
      </c>
      <c r="D20" s="2" t="s">
        <v>73</v>
      </c>
      <c r="E20" s="2">
        <v>0</v>
      </c>
      <c r="F20" s="2">
        <v>0</v>
      </c>
      <c r="G20" s="2">
        <v>0</v>
      </c>
      <c r="H20" s="2">
        <v>0</v>
      </c>
      <c r="I20" s="4">
        <v>0</v>
      </c>
      <c r="J20" s="2">
        <v>0</v>
      </c>
      <c r="K20" s="2" t="b">
        <v>0</v>
      </c>
      <c r="L20" s="2">
        <v>0</v>
      </c>
      <c r="M20" s="2">
        <v>0</v>
      </c>
      <c r="N20" s="2">
        <v>1</v>
      </c>
    </row>
    <row r="21" spans="1:14" ht="409.5" x14ac:dyDescent="0.25">
      <c r="A21" s="2" t="s">
        <v>74</v>
      </c>
      <c r="B21" s="2" t="s">
        <v>53</v>
      </c>
      <c r="C21" s="2" t="s">
        <v>75</v>
      </c>
      <c r="D21" s="2" t="s">
        <v>76</v>
      </c>
      <c r="E21" s="2">
        <v>1</v>
      </c>
      <c r="F21" s="2">
        <v>1</v>
      </c>
      <c r="G21" s="2">
        <v>1</v>
      </c>
      <c r="H21" s="2">
        <v>1</v>
      </c>
      <c r="I21" s="4">
        <v>1</v>
      </c>
      <c r="J21" s="2">
        <v>0.66700000000000004</v>
      </c>
      <c r="K21" s="2" t="b">
        <v>0</v>
      </c>
      <c r="L21" s="2">
        <v>1</v>
      </c>
      <c r="M21" s="2">
        <v>0</v>
      </c>
      <c r="N21" s="2">
        <v>1</v>
      </c>
    </row>
    <row r="22" spans="1:14" ht="409.5" x14ac:dyDescent="0.25">
      <c r="A22" s="2" t="s">
        <v>77</v>
      </c>
      <c r="B22" s="2" t="s">
        <v>53</v>
      </c>
      <c r="C22" s="2" t="s">
        <v>78</v>
      </c>
      <c r="D22" s="2" t="s">
        <v>79</v>
      </c>
      <c r="E22" s="2">
        <v>0</v>
      </c>
      <c r="F22" s="2">
        <v>1</v>
      </c>
      <c r="G22" s="2">
        <v>1</v>
      </c>
      <c r="H22" s="2">
        <v>0.5</v>
      </c>
      <c r="I22" s="4">
        <v>1</v>
      </c>
      <c r="J22" s="2">
        <v>1</v>
      </c>
      <c r="K22" s="2" t="b">
        <v>0</v>
      </c>
      <c r="L22" s="2">
        <v>3</v>
      </c>
      <c r="M22" s="2">
        <v>0</v>
      </c>
      <c r="N22" s="2">
        <v>0</v>
      </c>
    </row>
    <row r="23" spans="1:14" ht="409.5" x14ac:dyDescent="0.25">
      <c r="A23" s="2" t="s">
        <v>80</v>
      </c>
      <c r="B23" s="2" t="s">
        <v>53</v>
      </c>
      <c r="C23" s="2" t="s">
        <v>81</v>
      </c>
      <c r="D23" s="2" t="s">
        <v>82</v>
      </c>
      <c r="E23" s="2">
        <v>1</v>
      </c>
      <c r="F23" s="2">
        <v>1</v>
      </c>
      <c r="G23" s="2">
        <v>1</v>
      </c>
      <c r="H23" s="2">
        <v>1</v>
      </c>
      <c r="I23" s="4">
        <v>1</v>
      </c>
      <c r="J23" s="2">
        <v>1</v>
      </c>
      <c r="K23" s="2" t="b">
        <v>0</v>
      </c>
      <c r="L23" s="2">
        <v>2</v>
      </c>
      <c r="M23" s="2">
        <v>0</v>
      </c>
      <c r="N23" s="2">
        <v>0</v>
      </c>
    </row>
    <row r="24" spans="1:14" ht="409.5" x14ac:dyDescent="0.25">
      <c r="A24" s="2" t="s">
        <v>83</v>
      </c>
      <c r="B24" s="2" t="s">
        <v>53</v>
      </c>
      <c r="C24" s="2" t="s">
        <v>84</v>
      </c>
      <c r="D24" s="2" t="s">
        <v>85</v>
      </c>
      <c r="E24" s="2">
        <v>1</v>
      </c>
      <c r="F24" s="2">
        <v>1</v>
      </c>
      <c r="G24" s="2">
        <v>1</v>
      </c>
      <c r="H24" s="2">
        <v>1</v>
      </c>
      <c r="I24" s="4">
        <v>1</v>
      </c>
      <c r="J24" s="2">
        <v>0.66700000000000004</v>
      </c>
      <c r="K24" s="2" t="b">
        <v>0</v>
      </c>
      <c r="L24" s="2">
        <v>1</v>
      </c>
      <c r="M24" s="2">
        <v>0</v>
      </c>
      <c r="N24" s="2">
        <v>1</v>
      </c>
    </row>
    <row r="25" spans="1:14" ht="409.5" x14ac:dyDescent="0.25">
      <c r="A25" s="2" t="s">
        <v>86</v>
      </c>
      <c r="B25" s="2" t="s">
        <v>87</v>
      </c>
      <c r="C25" s="2" t="s">
        <v>88</v>
      </c>
      <c r="D25" s="2" t="s">
        <v>89</v>
      </c>
      <c r="E25" s="2">
        <v>1</v>
      </c>
      <c r="F25" s="2">
        <v>1</v>
      </c>
      <c r="G25" s="2">
        <v>1</v>
      </c>
      <c r="H25" s="2">
        <v>1</v>
      </c>
      <c r="I25" s="4">
        <v>0</v>
      </c>
      <c r="J25" s="2">
        <v>1</v>
      </c>
      <c r="K25" s="2" t="b">
        <v>0</v>
      </c>
      <c r="L25" s="2">
        <v>2</v>
      </c>
      <c r="M25" s="2">
        <v>0</v>
      </c>
      <c r="N25" s="2">
        <v>0</v>
      </c>
    </row>
    <row r="26" spans="1:14" ht="409.5" x14ac:dyDescent="0.25">
      <c r="A26" s="2" t="s">
        <v>90</v>
      </c>
      <c r="B26" s="2" t="s">
        <v>87</v>
      </c>
      <c r="C26" s="2" t="s">
        <v>91</v>
      </c>
      <c r="D26" s="2" t="s">
        <v>92</v>
      </c>
      <c r="E26" s="2">
        <v>1</v>
      </c>
      <c r="F26" s="2">
        <v>1</v>
      </c>
      <c r="G26" s="2">
        <v>1</v>
      </c>
      <c r="H26" s="2">
        <v>1</v>
      </c>
      <c r="I26" s="4">
        <v>0</v>
      </c>
      <c r="J26" s="2">
        <v>1</v>
      </c>
      <c r="K26" s="2" t="b">
        <v>0</v>
      </c>
      <c r="L26" s="2">
        <v>1</v>
      </c>
      <c r="M26" s="2">
        <v>0</v>
      </c>
      <c r="N26" s="2">
        <v>0</v>
      </c>
    </row>
    <row r="27" spans="1:14" ht="409.5" x14ac:dyDescent="0.25">
      <c r="A27" s="2" t="s">
        <v>93</v>
      </c>
      <c r="B27" s="2" t="s">
        <v>87</v>
      </c>
      <c r="C27" s="2" t="s">
        <v>94</v>
      </c>
      <c r="D27" s="2" t="s">
        <v>95</v>
      </c>
      <c r="E27" s="2">
        <v>1</v>
      </c>
      <c r="F27" s="2">
        <v>1</v>
      </c>
      <c r="G27" s="2">
        <v>1</v>
      </c>
      <c r="H27" s="2">
        <v>1</v>
      </c>
      <c r="I27" s="4">
        <v>0.5</v>
      </c>
      <c r="J27" s="2">
        <v>1</v>
      </c>
      <c r="K27" s="2" t="b">
        <v>0</v>
      </c>
      <c r="L27" s="2">
        <v>2</v>
      </c>
      <c r="M27" s="2">
        <v>0</v>
      </c>
      <c r="N27" s="2">
        <v>0</v>
      </c>
    </row>
    <row r="28" spans="1:14" ht="336" x14ac:dyDescent="0.25">
      <c r="A28" s="2" t="s">
        <v>96</v>
      </c>
      <c r="B28" s="2" t="s">
        <v>87</v>
      </c>
      <c r="C28" s="2" t="s">
        <v>97</v>
      </c>
      <c r="D28" s="2" t="s">
        <v>98</v>
      </c>
      <c r="E28" s="2">
        <v>0</v>
      </c>
      <c r="F28" s="2">
        <v>1</v>
      </c>
      <c r="G28" s="2">
        <v>1</v>
      </c>
      <c r="H28" s="2">
        <v>0.5</v>
      </c>
      <c r="I28" s="4">
        <v>1</v>
      </c>
      <c r="J28" s="2">
        <v>1</v>
      </c>
      <c r="K28" s="2" t="b">
        <v>0</v>
      </c>
      <c r="L28" s="2">
        <v>1</v>
      </c>
      <c r="M28" s="2">
        <v>0</v>
      </c>
      <c r="N28" s="2">
        <v>0</v>
      </c>
    </row>
    <row r="29" spans="1:14" ht="280" x14ac:dyDescent="0.25">
      <c r="A29" s="2" t="s">
        <v>99</v>
      </c>
      <c r="B29" s="2" t="s">
        <v>87</v>
      </c>
      <c r="C29" s="2" t="s">
        <v>100</v>
      </c>
      <c r="D29" s="2" t="s">
        <v>101</v>
      </c>
      <c r="E29" s="2">
        <v>0</v>
      </c>
      <c r="F29" s="2">
        <v>1</v>
      </c>
      <c r="G29" s="2">
        <v>1</v>
      </c>
      <c r="H29" s="2">
        <v>0.5</v>
      </c>
      <c r="I29" s="4">
        <v>1</v>
      </c>
      <c r="J29" s="2">
        <v>1</v>
      </c>
      <c r="K29" s="2" t="b">
        <v>0</v>
      </c>
      <c r="L29" s="2">
        <v>1</v>
      </c>
      <c r="M29" s="2">
        <v>0</v>
      </c>
      <c r="N29" s="2">
        <v>0</v>
      </c>
    </row>
    <row r="30" spans="1:14" ht="406" x14ac:dyDescent="0.25">
      <c r="A30" s="2" t="s">
        <v>102</v>
      </c>
      <c r="B30" s="2" t="s">
        <v>87</v>
      </c>
      <c r="C30" s="2" t="s">
        <v>103</v>
      </c>
      <c r="D30" s="2" t="s">
        <v>104</v>
      </c>
      <c r="E30" s="2">
        <v>1</v>
      </c>
      <c r="F30" s="2">
        <v>1</v>
      </c>
      <c r="G30" s="2">
        <v>1</v>
      </c>
      <c r="H30" s="2">
        <v>1</v>
      </c>
      <c r="I30" s="4">
        <v>0</v>
      </c>
      <c r="J30" s="2">
        <v>1</v>
      </c>
      <c r="K30" s="2" t="b">
        <v>0</v>
      </c>
      <c r="L30" s="2">
        <v>3</v>
      </c>
      <c r="M30" s="2">
        <v>0</v>
      </c>
      <c r="N30" s="2">
        <v>0</v>
      </c>
    </row>
    <row r="31" spans="1:14" ht="409.5" x14ac:dyDescent="0.25">
      <c r="A31" s="2" t="s">
        <v>105</v>
      </c>
      <c r="B31" s="2" t="s">
        <v>87</v>
      </c>
      <c r="C31" s="2" t="s">
        <v>106</v>
      </c>
      <c r="D31" s="2" t="s">
        <v>107</v>
      </c>
      <c r="E31" s="2">
        <v>0</v>
      </c>
      <c r="F31" s="2">
        <v>0</v>
      </c>
      <c r="G31" s="2">
        <v>0</v>
      </c>
      <c r="H31" s="2">
        <v>0</v>
      </c>
      <c r="I31" s="4">
        <v>0</v>
      </c>
      <c r="J31" s="2">
        <v>1</v>
      </c>
      <c r="K31" s="2" t="b">
        <v>0</v>
      </c>
      <c r="L31" s="2">
        <v>3</v>
      </c>
      <c r="M31" s="2">
        <v>0</v>
      </c>
      <c r="N31" s="2">
        <v>0</v>
      </c>
    </row>
    <row r="32" spans="1:14" ht="409.5" x14ac:dyDescent="0.25">
      <c r="A32" s="2" t="s">
        <v>108</v>
      </c>
      <c r="B32" s="2" t="s">
        <v>87</v>
      </c>
      <c r="C32" s="2" t="s">
        <v>109</v>
      </c>
      <c r="D32" s="2" t="s">
        <v>110</v>
      </c>
      <c r="E32" s="2">
        <v>1</v>
      </c>
      <c r="F32" s="2">
        <v>1</v>
      </c>
      <c r="G32" s="2">
        <v>1</v>
      </c>
      <c r="H32" s="2">
        <v>1</v>
      </c>
      <c r="I32" s="4">
        <v>1</v>
      </c>
      <c r="J32" s="2">
        <v>0.66700000000000004</v>
      </c>
      <c r="K32" s="2" t="b">
        <v>0</v>
      </c>
      <c r="L32" s="2">
        <v>1</v>
      </c>
      <c r="M32" s="2">
        <v>0</v>
      </c>
      <c r="N32" s="2">
        <v>1</v>
      </c>
    </row>
    <row r="33" spans="1:15" ht="409.5" x14ac:dyDescent="0.25">
      <c r="A33" s="2" t="s">
        <v>111</v>
      </c>
      <c r="B33" s="2" t="s">
        <v>87</v>
      </c>
      <c r="C33" s="2" t="s">
        <v>112</v>
      </c>
      <c r="D33" s="2" t="s">
        <v>113</v>
      </c>
      <c r="E33" s="2">
        <v>1</v>
      </c>
      <c r="F33" s="2">
        <v>1</v>
      </c>
      <c r="G33" s="2">
        <v>1</v>
      </c>
      <c r="H33" s="2">
        <v>1</v>
      </c>
      <c r="I33" s="4">
        <v>1</v>
      </c>
      <c r="J33" s="2">
        <v>1</v>
      </c>
      <c r="K33" s="2" t="b">
        <v>0</v>
      </c>
      <c r="L33" s="2">
        <v>3</v>
      </c>
      <c r="M33" s="2">
        <v>0</v>
      </c>
      <c r="N33" s="2">
        <v>0</v>
      </c>
    </row>
    <row r="34" spans="1:15" ht="409.5" x14ac:dyDescent="0.25">
      <c r="A34" s="2" t="s">
        <v>114</v>
      </c>
      <c r="B34" s="2" t="s">
        <v>87</v>
      </c>
      <c r="C34" s="2" t="s">
        <v>115</v>
      </c>
      <c r="D34" s="2" t="s">
        <v>116</v>
      </c>
      <c r="E34" s="2">
        <v>1</v>
      </c>
      <c r="F34" s="2">
        <v>1</v>
      </c>
      <c r="G34" s="2">
        <v>1</v>
      </c>
      <c r="H34" s="2">
        <v>1</v>
      </c>
      <c r="I34" s="4">
        <v>1</v>
      </c>
      <c r="J34" s="2">
        <v>1</v>
      </c>
      <c r="K34" s="2" t="b">
        <v>0</v>
      </c>
      <c r="L34" s="2">
        <v>3</v>
      </c>
      <c r="M34" s="2">
        <v>0</v>
      </c>
      <c r="N34" s="2">
        <v>0</v>
      </c>
    </row>
    <row r="35" spans="1:15" ht="409.5" x14ac:dyDescent="0.25">
      <c r="A35" s="2" t="s">
        <v>117</v>
      </c>
      <c r="B35" s="2" t="s">
        <v>87</v>
      </c>
      <c r="C35" s="2" t="s">
        <v>118</v>
      </c>
      <c r="D35" s="2" t="s">
        <v>119</v>
      </c>
      <c r="E35" s="2">
        <v>0</v>
      </c>
      <c r="F35" s="2">
        <v>0</v>
      </c>
      <c r="G35" s="2">
        <v>1</v>
      </c>
      <c r="H35" s="2">
        <v>0.2</v>
      </c>
      <c r="I35" s="4">
        <v>0</v>
      </c>
      <c r="J35" s="2">
        <v>0.66700000000000004</v>
      </c>
      <c r="K35" s="2" t="b">
        <v>0</v>
      </c>
      <c r="L35" s="2">
        <v>1</v>
      </c>
      <c r="M35" s="2">
        <v>0</v>
      </c>
      <c r="N35" s="2">
        <v>1</v>
      </c>
    </row>
    <row r="36" spans="1:15" ht="409.5" x14ac:dyDescent="0.25">
      <c r="A36" s="2" t="s">
        <v>120</v>
      </c>
      <c r="B36" s="2" t="s">
        <v>121</v>
      </c>
      <c r="C36" s="2" t="s">
        <v>122</v>
      </c>
      <c r="D36" s="2" t="s">
        <v>123</v>
      </c>
      <c r="E36" s="2">
        <v>1</v>
      </c>
      <c r="F36" s="2">
        <v>1</v>
      </c>
      <c r="G36" s="2">
        <v>1</v>
      </c>
      <c r="H36" s="2">
        <v>1</v>
      </c>
      <c r="I36" s="4">
        <v>1</v>
      </c>
      <c r="J36" s="2">
        <v>1</v>
      </c>
      <c r="K36" s="2" t="b">
        <v>0</v>
      </c>
      <c r="L36" s="2">
        <v>2</v>
      </c>
      <c r="M36" s="2">
        <v>0</v>
      </c>
      <c r="N36" s="2">
        <v>0</v>
      </c>
    </row>
    <row r="37" spans="1:15" ht="409.5" x14ac:dyDescent="0.25">
      <c r="A37" s="2" t="s">
        <v>124</v>
      </c>
      <c r="B37" s="2" t="s">
        <v>121</v>
      </c>
      <c r="C37" s="2" t="s">
        <v>125</v>
      </c>
      <c r="D37" s="2" t="s">
        <v>126</v>
      </c>
      <c r="E37" s="2">
        <v>1</v>
      </c>
      <c r="F37" s="2">
        <v>1</v>
      </c>
      <c r="G37" s="2">
        <v>1</v>
      </c>
      <c r="H37" s="2">
        <v>1</v>
      </c>
      <c r="I37" s="4">
        <v>1</v>
      </c>
      <c r="J37" s="2">
        <v>0.66700000000000004</v>
      </c>
      <c r="K37" s="2" t="b">
        <v>0</v>
      </c>
      <c r="L37" s="2">
        <v>1</v>
      </c>
      <c r="M37" s="2">
        <v>0</v>
      </c>
      <c r="N37" s="2">
        <v>1</v>
      </c>
    </row>
    <row r="38" spans="1:15" ht="409.5" x14ac:dyDescent="0.25">
      <c r="A38" s="2" t="s">
        <v>127</v>
      </c>
      <c r="B38" s="2" t="s">
        <v>121</v>
      </c>
      <c r="C38" s="2" t="s">
        <v>128</v>
      </c>
      <c r="D38" s="2" t="s">
        <v>129</v>
      </c>
      <c r="E38" s="2">
        <v>0</v>
      </c>
      <c r="F38" s="2">
        <v>1</v>
      </c>
      <c r="G38" s="2">
        <v>1</v>
      </c>
      <c r="H38" s="2">
        <v>0.5</v>
      </c>
      <c r="I38" s="4">
        <v>0.33329999999999999</v>
      </c>
      <c r="J38" s="2">
        <v>1</v>
      </c>
      <c r="K38" s="2" t="b">
        <v>0</v>
      </c>
      <c r="L38" s="2">
        <v>3</v>
      </c>
      <c r="M38" s="2">
        <v>0</v>
      </c>
      <c r="N38" s="2">
        <v>0</v>
      </c>
    </row>
    <row r="39" spans="1:15" ht="409.5" x14ac:dyDescent="0.25">
      <c r="A39" s="2" t="s">
        <v>130</v>
      </c>
      <c r="B39" s="2" t="s">
        <v>121</v>
      </c>
      <c r="C39" s="2" t="s">
        <v>131</v>
      </c>
      <c r="D39" s="2" t="s">
        <v>132</v>
      </c>
      <c r="E39" s="2">
        <v>0</v>
      </c>
      <c r="F39" s="2">
        <v>0</v>
      </c>
      <c r="G39" s="2">
        <v>1</v>
      </c>
      <c r="H39" s="2">
        <v>0.2</v>
      </c>
      <c r="I39" s="4">
        <v>0</v>
      </c>
      <c r="J39" s="2">
        <v>1</v>
      </c>
      <c r="K39" s="2" t="b">
        <v>0</v>
      </c>
      <c r="L39" s="2">
        <v>2</v>
      </c>
      <c r="M39" s="2">
        <v>0</v>
      </c>
      <c r="N39" s="2">
        <v>0</v>
      </c>
    </row>
    <row r="40" spans="1:15" ht="409.5" x14ac:dyDescent="0.25">
      <c r="A40" s="2" t="s">
        <v>133</v>
      </c>
      <c r="B40" s="2" t="s">
        <v>121</v>
      </c>
      <c r="C40" s="2" t="s">
        <v>134</v>
      </c>
      <c r="D40" s="2" t="s">
        <v>135</v>
      </c>
      <c r="E40" s="2">
        <v>1</v>
      </c>
      <c r="F40" s="2">
        <v>1</v>
      </c>
      <c r="G40" s="2">
        <v>1</v>
      </c>
      <c r="H40" s="2">
        <v>1</v>
      </c>
      <c r="I40" s="4">
        <v>1</v>
      </c>
      <c r="J40" s="2">
        <v>0.5</v>
      </c>
      <c r="K40" s="2" t="b">
        <v>0</v>
      </c>
      <c r="L40" s="2">
        <v>2</v>
      </c>
      <c r="M40" s="2">
        <v>0</v>
      </c>
      <c r="N40" s="2">
        <v>4</v>
      </c>
    </row>
    <row r="41" spans="1:15" ht="409.5" x14ac:dyDescent="0.25">
      <c r="A41" s="2" t="s">
        <v>136</v>
      </c>
      <c r="B41" s="2" t="s">
        <v>121</v>
      </c>
      <c r="C41" s="2" t="s">
        <v>137</v>
      </c>
      <c r="D41" s="2" t="s">
        <v>138</v>
      </c>
      <c r="E41" s="2">
        <v>1</v>
      </c>
      <c r="F41" s="2">
        <v>1</v>
      </c>
      <c r="G41" s="2">
        <v>1</v>
      </c>
      <c r="H41" s="2">
        <v>1</v>
      </c>
      <c r="I41" s="4">
        <v>1</v>
      </c>
      <c r="J41" s="2">
        <v>0.8</v>
      </c>
      <c r="K41" s="2" t="b">
        <v>0</v>
      </c>
      <c r="L41" s="2">
        <v>2</v>
      </c>
      <c r="M41" s="2">
        <v>0</v>
      </c>
      <c r="N41" s="2">
        <v>1</v>
      </c>
    </row>
    <row r="42" spans="1:15" ht="409.5" x14ac:dyDescent="0.25">
      <c r="A42" s="2" t="s">
        <v>139</v>
      </c>
      <c r="B42" s="2" t="s">
        <v>121</v>
      </c>
      <c r="C42" s="2" t="s">
        <v>140</v>
      </c>
      <c r="D42" s="2" t="s">
        <v>141</v>
      </c>
      <c r="E42" s="2">
        <v>0</v>
      </c>
      <c r="F42" s="2">
        <v>0</v>
      </c>
      <c r="G42" s="2">
        <v>1</v>
      </c>
      <c r="H42" s="2">
        <v>0.25</v>
      </c>
      <c r="I42" s="4">
        <v>0.25</v>
      </c>
      <c r="J42" s="2">
        <v>0.88900000000000001</v>
      </c>
      <c r="K42" s="2" t="b">
        <v>0</v>
      </c>
      <c r="L42" s="2">
        <v>4</v>
      </c>
      <c r="M42" s="2">
        <v>0</v>
      </c>
      <c r="N42" s="2">
        <v>1</v>
      </c>
    </row>
    <row r="43" spans="1:15" ht="409.5" x14ac:dyDescent="0.25">
      <c r="A43" s="2" t="s">
        <v>142</v>
      </c>
      <c r="B43" s="2" t="s">
        <v>121</v>
      </c>
      <c r="C43" s="2" t="s">
        <v>143</v>
      </c>
      <c r="D43" s="2" t="s">
        <v>144</v>
      </c>
      <c r="E43" s="2">
        <v>1</v>
      </c>
      <c r="F43" s="2">
        <v>1</v>
      </c>
      <c r="G43" s="2">
        <v>1</v>
      </c>
      <c r="H43" s="2">
        <v>1</v>
      </c>
      <c r="I43" s="4">
        <v>1</v>
      </c>
      <c r="J43" s="2">
        <v>1</v>
      </c>
      <c r="K43" s="2" t="b">
        <v>0</v>
      </c>
      <c r="L43" s="2">
        <v>2</v>
      </c>
      <c r="M43" s="2">
        <v>0</v>
      </c>
      <c r="N43" s="2">
        <v>0</v>
      </c>
    </row>
    <row r="44" spans="1:15" ht="112" x14ac:dyDescent="0.25">
      <c r="A44" s="2" t="s">
        <v>145</v>
      </c>
      <c r="B44" s="2" t="s">
        <v>146</v>
      </c>
      <c r="C44" s="2" t="s">
        <v>147</v>
      </c>
      <c r="D44" s="2" t="s">
        <v>73</v>
      </c>
      <c r="J44" s="2">
        <v>1</v>
      </c>
      <c r="K44" s="2" t="b">
        <v>1</v>
      </c>
      <c r="L44" s="2">
        <v>1</v>
      </c>
      <c r="M44" s="2">
        <v>0</v>
      </c>
      <c r="N44" s="2">
        <v>0</v>
      </c>
      <c r="O44" s="2" t="b">
        <v>1</v>
      </c>
    </row>
    <row r="45" spans="1:15" ht="409.5" x14ac:dyDescent="0.25">
      <c r="A45" s="2" t="s">
        <v>148</v>
      </c>
      <c r="B45" s="2" t="s">
        <v>146</v>
      </c>
      <c r="C45" s="2" t="s">
        <v>147</v>
      </c>
      <c r="D45" s="2" t="s">
        <v>149</v>
      </c>
      <c r="J45" s="2">
        <v>0</v>
      </c>
      <c r="K45" s="2" t="b">
        <v>1</v>
      </c>
      <c r="L45" s="2">
        <v>0</v>
      </c>
      <c r="M45" s="2">
        <v>1</v>
      </c>
      <c r="N45" s="2">
        <v>0</v>
      </c>
      <c r="O45" s="2" t="b">
        <v>0</v>
      </c>
    </row>
    <row r="46" spans="1:15" ht="84" x14ac:dyDescent="0.25">
      <c r="A46" s="2" t="s">
        <v>150</v>
      </c>
      <c r="B46" s="2" t="s">
        <v>146</v>
      </c>
      <c r="C46" s="2" t="s">
        <v>147</v>
      </c>
      <c r="D46" s="2" t="s">
        <v>73</v>
      </c>
      <c r="J46" s="2">
        <v>1</v>
      </c>
      <c r="K46" s="2" t="b">
        <v>1</v>
      </c>
      <c r="L46" s="2">
        <v>1</v>
      </c>
      <c r="M46" s="2">
        <v>0</v>
      </c>
      <c r="N46" s="2">
        <v>0</v>
      </c>
      <c r="O46" s="2" t="b">
        <v>1</v>
      </c>
    </row>
    <row r="47" spans="1:15" ht="210" x14ac:dyDescent="0.25">
      <c r="A47" s="2" t="s">
        <v>151</v>
      </c>
      <c r="B47" s="2" t="s">
        <v>146</v>
      </c>
      <c r="C47" s="2" t="s">
        <v>147</v>
      </c>
      <c r="D47" s="2" t="s">
        <v>73</v>
      </c>
      <c r="J47" s="2">
        <v>1</v>
      </c>
      <c r="K47" s="2" t="b">
        <v>1</v>
      </c>
      <c r="L47" s="2">
        <v>1</v>
      </c>
      <c r="M47" s="2">
        <v>0</v>
      </c>
      <c r="N47" s="2">
        <v>0</v>
      </c>
      <c r="O47" s="2" t="b">
        <v>1</v>
      </c>
    </row>
    <row r="48" spans="1:15" ht="98" x14ac:dyDescent="0.25">
      <c r="A48" s="2" t="s">
        <v>152</v>
      </c>
      <c r="B48" s="2" t="s">
        <v>146</v>
      </c>
      <c r="C48" s="2" t="s">
        <v>147</v>
      </c>
      <c r="D48" s="2" t="s">
        <v>73</v>
      </c>
      <c r="J48" s="2">
        <v>1</v>
      </c>
      <c r="K48" s="2" t="b">
        <v>1</v>
      </c>
      <c r="L48" s="2">
        <v>1</v>
      </c>
      <c r="M48" s="2">
        <v>0</v>
      </c>
      <c r="N48" s="2">
        <v>0</v>
      </c>
      <c r="O48" s="2" t="b">
        <v>1</v>
      </c>
    </row>
    <row r="49" spans="1:15" ht="98" x14ac:dyDescent="0.25">
      <c r="A49" s="2" t="s">
        <v>153</v>
      </c>
      <c r="B49" s="2" t="s">
        <v>146</v>
      </c>
      <c r="C49" s="2" t="s">
        <v>147</v>
      </c>
      <c r="D49" s="2" t="s">
        <v>73</v>
      </c>
      <c r="J49" s="2">
        <v>1</v>
      </c>
      <c r="K49" s="2" t="b">
        <v>1</v>
      </c>
      <c r="L49" s="2">
        <v>1</v>
      </c>
      <c r="M49" s="2">
        <v>0</v>
      </c>
      <c r="N49" s="2">
        <v>0</v>
      </c>
      <c r="O49" s="2" t="b">
        <v>1</v>
      </c>
    </row>
    <row r="50" spans="1:15" ht="409.5" x14ac:dyDescent="0.25">
      <c r="A50" s="2" t="s">
        <v>154</v>
      </c>
      <c r="B50" s="2" t="s">
        <v>146</v>
      </c>
      <c r="C50" s="2" t="s">
        <v>147</v>
      </c>
      <c r="D50" s="2" t="s">
        <v>155</v>
      </c>
      <c r="J50" s="2">
        <v>1</v>
      </c>
      <c r="K50" s="2" t="b">
        <v>1</v>
      </c>
      <c r="L50" s="2">
        <v>1</v>
      </c>
      <c r="M50" s="2">
        <v>0</v>
      </c>
      <c r="N50" s="2">
        <v>0</v>
      </c>
      <c r="O50" s="2" t="b">
        <v>1</v>
      </c>
    </row>
    <row r="51" spans="1:15" ht="126" x14ac:dyDescent="0.25">
      <c r="A51" s="2" t="s">
        <v>156</v>
      </c>
      <c r="B51" s="2" t="s">
        <v>146</v>
      </c>
      <c r="C51" s="2" t="s">
        <v>147</v>
      </c>
      <c r="D51" s="2" t="s">
        <v>73</v>
      </c>
      <c r="J51" s="2">
        <v>1</v>
      </c>
      <c r="K51" s="2" t="b">
        <v>1</v>
      </c>
      <c r="L51" s="2">
        <v>1</v>
      </c>
      <c r="M51" s="2">
        <v>0</v>
      </c>
      <c r="N51" s="2">
        <v>0</v>
      </c>
      <c r="O51" s="2" t="b">
        <v>1</v>
      </c>
    </row>
    <row r="53" spans="1:15" ht="28" x14ac:dyDescent="0.25">
      <c r="A53" s="2" t="s">
        <v>157</v>
      </c>
      <c r="E53" s="2">
        <f>AVERAGEIFS(E2:E51,K2:K51,FALSE)</f>
        <v>0.73809523809523814</v>
      </c>
      <c r="F53" s="2">
        <f>AVERAGEIFS(F2:F51,K2:K51,FALSE)</f>
        <v>0.8571428571428571</v>
      </c>
      <c r="G53" s="2">
        <f>AVERAGEIFS(G2:G51,K2:K51,FALSE)</f>
        <v>0.9285714285714286</v>
      </c>
      <c r="H53" s="2">
        <f>AVERAGEIFS(H2:H51,K2:K51,FALSE)</f>
        <v>0.80912698412698414</v>
      </c>
      <c r="I53" s="4">
        <f>AVERAGEIFS(I2:I51,K2:K51,FALSE)</f>
        <v>0.71626904761904764</v>
      </c>
      <c r="J53" s="2">
        <f>AVERAGE(J2:J51)</f>
        <v>0.86630000000000007</v>
      </c>
      <c r="L53" s="2">
        <f>AVERAGE(L2:L51)</f>
        <v>1.84</v>
      </c>
      <c r="M53" s="2">
        <f>AVERAGE(M2:M51)</f>
        <v>0.08</v>
      </c>
      <c r="N53" s="2">
        <f>AVERAGE(N2:N51)</f>
        <v>0.42</v>
      </c>
    </row>
    <row r="54" spans="1:15" ht="28" x14ac:dyDescent="0.25">
      <c r="A54" s="2" t="s">
        <v>158</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0.83333333333333337</v>
      </c>
      <c r="J54" s="2">
        <f>AVERAGEIF(B2:B51,"定义类",J2:J51)</f>
        <v>0.94366666666666665</v>
      </c>
      <c r="L54" s="2">
        <f>AVERAGEIF(B2:B51,"定义类",L2:L51)</f>
        <v>2.3333333333333335</v>
      </c>
      <c r="M54" s="2">
        <f>AVERAGEIF(B2:B51,"定义类",M2:M51)</f>
        <v>0</v>
      </c>
      <c r="N54" s="2">
        <f>AVERAGEIF(B2:B51,"定义类",N2:N51)</f>
        <v>0.33333333333333331</v>
      </c>
    </row>
    <row r="55" spans="1:15" ht="42" x14ac:dyDescent="0.25">
      <c r="A55" s="2" t="s">
        <v>159</v>
      </c>
      <c r="B55" s="2" t="s">
        <v>53</v>
      </c>
      <c r="E55" s="2">
        <f>AVERAGEIFS(E2:E51,B2:B51,"方法细节类",K2:K51,FALSE)</f>
        <v>0.72727272727272729</v>
      </c>
      <c r="F55" s="2">
        <f>AVERAGEIFS(F2:F51,B2:B51,"方法细节类",K2:K51,FALSE)</f>
        <v>0.90909090909090906</v>
      </c>
      <c r="G55" s="2">
        <f>AVERAGEIFS(G2:G51,B2:B51,"方法细节类",K2:K51,FALSE)</f>
        <v>0.90909090909090906</v>
      </c>
      <c r="H55" s="2">
        <f>AVERAGEIFS(H2:H51,B2:B51,"方法细节类",K2:K51,FALSE)</f>
        <v>0.80303030303030287</v>
      </c>
      <c r="I55" s="4">
        <f>AVERAGEIFS(I2:I51,B2:B51,"方法细节类",K2:K51,FALSE)</f>
        <v>0.81818181818181823</v>
      </c>
      <c r="J55" s="2">
        <f>AVERAGEIF(B2:B51,"方法细节类",J2:J51)</f>
        <v>0.70918181818181825</v>
      </c>
      <c r="L55" s="2">
        <f>AVERAGEIF(B2:B51,"方法细节类",L2:L51)</f>
        <v>1.6363636363636365</v>
      </c>
      <c r="M55" s="2">
        <f>AVERAGEIF(B2:B51,"方法细节类",M2:M51)</f>
        <v>0.27272727272727271</v>
      </c>
      <c r="N55" s="2">
        <f>AVERAGEIF(B2:B51,"方法细节类",N2:N51)</f>
        <v>0.72727272727272729</v>
      </c>
    </row>
    <row r="56" spans="1:15" ht="42" x14ac:dyDescent="0.25">
      <c r="A56" s="2" t="s">
        <v>160</v>
      </c>
      <c r="B56" s="2" t="s">
        <v>87</v>
      </c>
      <c r="E56" s="2">
        <f>AVERAGEIFS(E2:E51,B2:B51,"实验结果类",K2:K51,FALSE)</f>
        <v>0.63636363636363635</v>
      </c>
      <c r="F56" s="2">
        <f>AVERAGEIFS(F2:F51,B2:B51,"实验结果类",K2:K51,FALSE)</f>
        <v>0.81818181818181823</v>
      </c>
      <c r="G56" s="2">
        <f>AVERAGEIFS(G2:G51,B2:B51,"实验结果类",K2:K51,FALSE)</f>
        <v>0.90909090909090906</v>
      </c>
      <c r="H56" s="2">
        <f>AVERAGEIFS(H2:H51,B2:B51,"实验结果类",K2:K51,FALSE)</f>
        <v>0.74545454545454537</v>
      </c>
      <c r="I56" s="4">
        <f>AVERAGEIFS(I2:I51,B2:B51,"实验结果类",K2:K51,FALSE)</f>
        <v>0.5</v>
      </c>
      <c r="J56" s="2">
        <f>AVERAGEIF(B2:B51,"实验结果类",J2:J51)</f>
        <v>0.93945454545454543</v>
      </c>
      <c r="L56" s="2">
        <f>AVERAGEIF(B2:B51,"实验结果类",L2:L51)</f>
        <v>1.9090909090909092</v>
      </c>
      <c r="M56" s="2">
        <f>AVERAGEIF(B2:B51,"实验结果类",M2:M51)</f>
        <v>0</v>
      </c>
      <c r="N56" s="2">
        <f>AVERAGEIF(B2:B51,"实验结果类",N2:N51)</f>
        <v>0.18181818181818182</v>
      </c>
    </row>
    <row r="57" spans="1:15" ht="42" x14ac:dyDescent="0.25">
      <c r="A57" s="2" t="s">
        <v>161</v>
      </c>
      <c r="B57" s="2" t="s">
        <v>121</v>
      </c>
      <c r="E57" s="2">
        <f>AVERAGEIFS(E2:E51,B2:B51,"跨论文比较类",K2:K51,FALSE)</f>
        <v>0.625</v>
      </c>
      <c r="F57" s="2">
        <f>AVERAGEIFS(F2:F51,B2:B51,"跨论文比较类",K2:K51,FALSE)</f>
        <v>0.75</v>
      </c>
      <c r="G57" s="2">
        <f>AVERAGEIFS(G2:G51,B2:B51,"跨论文比较类",K2:K51,FALSE)</f>
        <v>1</v>
      </c>
      <c r="H57" s="2">
        <f>AVERAGEIFS(H2:H51,B2:B51,"跨论文比较类",K2:K51,FALSE)</f>
        <v>0.74375000000000002</v>
      </c>
      <c r="I57" s="4">
        <f>AVERAGEIFS(I2:I51,B2:B51,"跨论文比较类",K2:K51,FALSE)</f>
        <v>0.69791249999999994</v>
      </c>
      <c r="J57" s="2">
        <f>AVERAGEIF(B2:B51,"跨论文比较类",J2:J51)</f>
        <v>0.85699999999999998</v>
      </c>
      <c r="L57" s="2">
        <f>AVERAGEIF(B2:B51,"跨论文比较类",L2:L51)</f>
        <v>2.25</v>
      </c>
      <c r="M57" s="2">
        <f>AVERAGEIF(B2:B51,"跨论文比较类",M2:M51)</f>
        <v>0</v>
      </c>
      <c r="N57" s="2">
        <f>AVERAGEIF(B2:B51,"跨论文比较类",N2:N51)</f>
        <v>0.875</v>
      </c>
    </row>
    <row r="58" spans="1:15" ht="42" x14ac:dyDescent="0.25">
      <c r="A58" s="2" t="s">
        <v>162</v>
      </c>
      <c r="B58" s="2" t="s">
        <v>146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0.875</v>
      </c>
      <c r="L58" s="2">
        <f>AVERAGEIF(B2:B51,"不可回答类",L2:L51)</f>
        <v>0.875</v>
      </c>
      <c r="M58" s="2">
        <f>AVERAGEIF(B2:B51,"不可回答类",M2:M51)</f>
        <v>0.125</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2026-06-03T07:24:41Z</dcterms:created>
  <dcterms:modified xsi:type="dcterms:W3CDTF">2026-06-03T09:05:27Z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239617b8-f11d-47f7-9b05-2e53e1facd6b</vt:lpwstr>
  </property>
</Properties>
</file>