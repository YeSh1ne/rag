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sheetData>
    <row r="1">
      <c r="A1" s="1" t="inlineStr">
        <is>
          <t>question</t>
        </is>
      </c>
      <c r="B1" s="1" t="inlineStr">
        <is>
          <t>question_type</t>
        </is>
      </c>
      <c r="C1" s="1" t="inlineStr">
        <is>
          <t>gold_answer</t>
        </is>
      </c>
      <c r="D1" s="1" t="inlineStr">
        <is>
          <t>predicted_answer</t>
        </is>
      </c>
      <c r="E1" s="1" t="inlineStr">
        <is>
          <t>recall_at_1</t>
        </is>
      </c>
      <c r="F1" s="1" t="inlineStr">
        <is>
          <t>recall_at_3</t>
        </is>
      </c>
      <c r="G1" s="1" t="inlineStr">
        <is>
          <t>recall_at_5</t>
        </is>
      </c>
      <c r="H1" s="1" t="inlineStr">
        <is>
          <t>mrr</t>
        </is>
      </c>
      <c r="I1" s="1" t="inlineStr">
        <is>
          <t>citation_accuracy</t>
        </is>
      </c>
      <c r="J1" s="1" t="inlineStr">
        <is>
          <t>answer_correctness</t>
        </is>
      </c>
      <c r="K1" s="1" t="inlineStr">
        <is>
          <t>is_unanswerable</t>
        </is>
      </c>
      <c r="L1" s="1" t="inlineStr">
        <is>
          <t>tp</t>
        </is>
      </c>
      <c r="M1" s="1" t="inlineStr">
        <is>
          <t>fp</t>
        </is>
      </c>
      <c r="N1" s="1" t="inlineStr">
        <is>
          <t>fn</t>
        </is>
      </c>
      <c r="O1" s="1" t="inlineStr">
        <is>
          <t>is_correct_refusal</t>
        </is>
      </c>
    </row>
    <row r="2">
      <c r="A2" t="inlineStr">
        <is>
          <t>在论文"A Survey of Post-Training Scaling in Large Language Models"中，作者将post-training scaling分为哪三个主要方法？</t>
        </is>
      </c>
      <c r="B2" t="inlineStr">
        <is>
          <t>定义类</t>
        </is>
      </c>
      <c r="C2" t="inlineStr">
        <is>
          <t>作者将post-training scaling分为三个主要方法：Supervised Fine-tuning (SFT), Reinforcement Learning (RLxF), and Test-time Compute (TTC).</t>
        </is>
      </c>
      <c r="D2" t="inlineStr">
        <is>
          <t>该论文将post-training scaling分为三个主要方法：Supervised Fine-tuning (SFT)、Reinforcement Learning (RL) 和 Test-time Compute (TTC)。
来自: [2025.acl-long.140_A Survey of Post-Training Scaling in Large Language Models, 第2页, 2025.acl-long.140_A Survey of Post-Training Scaling in Large Language Models_chunk_002] 和 [2025.acl-long.140_A Survey of Post-Training Scaling in Large Language Models, 第1页, 2025.acl-long.140_A Survey of Post-Training Scaling in Large Language Models_chunk_001]</t>
        </is>
      </c>
      <c r="E2" t="n">
        <v>1</v>
      </c>
      <c r="F2" t="n">
        <v>1</v>
      </c>
      <c r="G2" t="n">
        <v>1</v>
      </c>
      <c r="H2" t="n">
        <v>1</v>
      </c>
      <c r="I2" t="n">
        <v>1</v>
      </c>
      <c r="J2" t="n">
        <v>1</v>
      </c>
      <c r="K2" t="b">
        <v>0</v>
      </c>
      <c r="L2" t="n">
        <v>3</v>
      </c>
      <c r="M2" t="n">
        <v>0</v>
      </c>
      <c r="N2" t="n">
        <v>0</v>
      </c>
    </row>
    <row r="3">
      <c r="A3" t="inlineStr">
        <is>
          <t>在SafeRAG中"silver noise"的定义是什么？</t>
        </is>
      </c>
      <c r="B3" t="inlineStr">
        <is>
          <t>定义类</t>
        </is>
      </c>
      <c r="C3" t="inlineStr">
        <is>
          <t>首先，我们定义了“银色噪声”，它指的是仅部分包含答案的证据文本。此类噪声能够绕过大多数安全过滤机制，从而削弱 RAG 的多样性。</t>
        </is>
      </c>
      <c r="D3" t="inlineStr">
        <is>
          <t>Silver noise是指包含部分但不完整答案的噪声文本。
来自: [2025.acl-long.230_SafeRAG, 第3页, 2025.acl-long.230_SafeRAG_chunk_004]</t>
        </is>
      </c>
      <c r="E3" t="n">
        <v>0</v>
      </c>
      <c r="F3" t="n">
        <v>0</v>
      </c>
      <c r="G3" t="n">
        <v>0</v>
      </c>
      <c r="H3" t="n">
        <v>0</v>
      </c>
      <c r="I3" t="n">
        <v>0</v>
      </c>
      <c r="J3" t="n">
        <v>1</v>
      </c>
      <c r="K3" t="b">
        <v>0</v>
      </c>
      <c r="L3" t="n">
        <v>1</v>
      </c>
      <c r="M3" t="n">
        <v>0</v>
      </c>
      <c r="N3" t="n">
        <v>0</v>
      </c>
    </row>
    <row r="4">
      <c r="A4" t="inlineStr">
        <is>
          <t>RAG噪声被分为哪两类？</t>
        </is>
      </c>
      <c r="B4" t="inlineStr">
        <is>
          <t>定义类</t>
        </is>
      </c>
      <c r="C4" t="inlineStr">
        <is>
          <t>RAG噪声被分为有益噪声和有害噪声。</t>
        </is>
      </c>
      <c r="D4" t="inlineStr">
        <is>
          <t>RAG噪声被分为有益噪声（beneficial noise）和有害噪声（harmful noise）两类。
来自: [2025.acl-long.250_Pandora s Box or Aladdin s Lamp, 第2页, 2025.acl-long.250_Pandora s Box or Aladdin s Lamp_chunk_002]</t>
        </is>
      </c>
      <c r="E4" t="n">
        <v>1</v>
      </c>
      <c r="F4" t="n">
        <v>1</v>
      </c>
      <c r="G4" t="n">
        <v>1</v>
      </c>
      <c r="H4" t="n">
        <v>1</v>
      </c>
      <c r="I4" t="n">
        <v>1</v>
      </c>
      <c r="J4" t="n">
        <v>1</v>
      </c>
      <c r="K4" t="b">
        <v>0</v>
      </c>
      <c r="L4" t="n">
        <v>1</v>
      </c>
      <c r="M4" t="n">
        <v>0</v>
      </c>
      <c r="N4" t="n">
        <v>0</v>
      </c>
    </row>
    <row r="5">
      <c r="A5" t="inlineStr">
        <is>
          <t>什么是Ref-Long基准？它评估的是长上下文语言模型的什么能力？</t>
        </is>
      </c>
      <c r="B5" t="inlineStr">
        <is>
          <t>定义类</t>
        </is>
      </c>
      <c r="C5" t="inlineStr">
        <is>
          <t>Ref-Long是一个专门设计用于评估长上下文语言模型（LCLMs）长上下文引用能力的基准。它要求LCLMs不仅要在给定文档中识别特定关键词，还要找出引用该关键词的文档索引，而不是其他相关但不匹配的文档。</t>
        </is>
      </c>
      <c r="D5" t="inlineStr">
        <is>
          <t>Ref-Long是一个旨在评估长上下文语言模型（LCLMs）的长上下文引用能力的新基准。
来自: [2025.acl-long.1162_Ref-Long, 第1页, 2025.acl-long.1162_Ref-Long_chunk_000]</t>
        </is>
      </c>
      <c r="E5" t="n">
        <v>1</v>
      </c>
      <c r="F5" t="n">
        <v>1</v>
      </c>
      <c r="G5" t="n">
        <v>1</v>
      </c>
      <c r="H5" t="n">
        <v>1</v>
      </c>
      <c r="I5" t="n">
        <v>1</v>
      </c>
      <c r="J5" t="n">
        <v>0.667</v>
      </c>
      <c r="K5" t="b">
        <v>0</v>
      </c>
      <c r="L5" t="n">
        <v>1</v>
      </c>
      <c r="M5" t="n">
        <v>0</v>
      </c>
      <c r="N5" t="n">
        <v>1</v>
      </c>
    </row>
    <row r="6">
      <c r="A6" t="inlineStr">
        <is>
          <t xml:space="preserve"> 什么是SYNQA方法？</t>
        </is>
      </c>
      <c r="B6" t="inlineStr">
        <is>
          <t>定义类</t>
        </is>
      </c>
      <c r="C6" t="inlineStr">
        <is>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is>
      </c>
      <c r="D6" t="inlineStr">
        <is>
          <t>SYNQA是一种生成式方法，通过给定选定的上下文句子，让LLM生成完全由这些句子支持的问题-答案对。
来自: [2025.acl-long.828_On Synthesizing Data for Context Attribution in Question Answering, 第2页, 2025.acl-long.828_On Synthesizing Data for Context Attribution in Question Answering_chunk_001]</t>
        </is>
      </c>
      <c r="E6" t="n">
        <v>1</v>
      </c>
      <c r="F6" t="n">
        <v>1</v>
      </c>
      <c r="G6" t="n">
        <v>1</v>
      </c>
      <c r="H6" t="n">
        <v>1</v>
      </c>
      <c r="I6" t="n">
        <v>0</v>
      </c>
      <c r="J6" t="n">
        <v>0.857</v>
      </c>
      <c r="K6" t="b">
        <v>0</v>
      </c>
      <c r="L6" t="n">
        <v>3</v>
      </c>
      <c r="M6" t="n">
        <v>0</v>
      </c>
      <c r="N6" t="n">
        <v>1</v>
      </c>
    </row>
    <row r="7">
      <c r="A7" t="inlineStr">
        <is>
          <t>什么是Agentic Long-Context Understanding (AgenticLU)框架？</t>
        </is>
      </c>
      <c r="B7" t="inlineStr">
        <is>
          <t>定义类</t>
        </is>
      </c>
      <c r="C7" t="inlineStr">
        <is>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is>
      </c>
      <c r="D7" t="inlineStr">
        <is>
          <t>AgenticLU是一个通过将有针对性的自我澄清与上下文基础整合到智能体工作流中来增强大语言模型对长上下文查询理解的框架。
来自: [2025.acl-long.275_Self-Taught Agentic Long Context Understanding, 第1页, 2025.acl-long.275_Self-Taught Agentic Long Context Understanding_chunk_000]</t>
        </is>
      </c>
      <c r="E7" t="n">
        <v>1</v>
      </c>
      <c r="F7" t="n">
        <v>1</v>
      </c>
      <c r="G7" t="n">
        <v>1</v>
      </c>
      <c r="H7" t="n">
        <v>1</v>
      </c>
      <c r="I7" t="n">
        <v>1</v>
      </c>
      <c r="J7" t="n">
        <v>0.667</v>
      </c>
      <c r="K7" t="b">
        <v>0</v>
      </c>
      <c r="L7" t="n">
        <v>1</v>
      </c>
      <c r="M7" t="n">
        <v>0</v>
      </c>
      <c r="N7" t="n">
        <v>1</v>
      </c>
    </row>
    <row r="8">
      <c r="A8" t="inlineStr">
        <is>
          <t>什么是Agentic Reasoning框架?</t>
        </is>
      </c>
      <c r="B8" t="inlineStr">
        <is>
          <t>定义类</t>
        </is>
      </c>
      <c r="C8" t="inlineStr">
        <is>
          <t>Agentic Reasoning是一个通过集成外部工具使用代理来增强大型语言模型推理的框架。</t>
        </is>
      </c>
      <c r="D8" t="inlineStr">
        <is>
          <t>Agentic Reasoning 是一个通过集成外部 LLM 代理作为工具来增强推理的框架，它允许 LLM 在推理过程中将特定任务委托给辅助代理，从而提升整体问题解决能力。
来自: [2025.acl-long.1383_Agentic Reasoning, 第1页, 2025.acl-long.1383_Agentic Reasoning_chunk_001] 和 [2025.acl-long.1383_Agentic Reasoning, 第2页, 2025.acl-long.1383_Agentic Reasoning_chunk_002]</t>
        </is>
      </c>
      <c r="E8" t="n">
        <v>1</v>
      </c>
      <c r="F8" t="n">
        <v>1</v>
      </c>
      <c r="G8" t="n">
        <v>1</v>
      </c>
      <c r="H8" t="n">
        <v>1</v>
      </c>
      <c r="I8" t="n">
        <v>1</v>
      </c>
      <c r="J8" t="n">
        <v>1</v>
      </c>
      <c r="K8" t="b">
        <v>0</v>
      </c>
      <c r="L8" t="n">
        <v>1</v>
      </c>
      <c r="M8" t="n">
        <v>0</v>
      </c>
      <c r="N8" t="n">
        <v>0</v>
      </c>
    </row>
    <row r="9">
      <c r="A9" t="inlineStr">
        <is>
          <t>REAL-MM-RAG 基准测试旨在解决现实世界检索的四个关键属性是什么？</t>
        </is>
      </c>
      <c r="B9" t="inlineStr">
        <is>
          <t>定义类</t>
        </is>
      </c>
      <c r="C9" t="inlineStr">
        <is>
          <t xml:space="preserve"> REAL-MM-RAG基准测试的四个关键属性是：(i) 多模态文档，(ii) 增强的难度，(iii) 真实的RAG查询，(iv) 准确的标注。</t>
        </is>
      </c>
      <c r="D9" t="inlineStr">
        <is>
          <t>REAL-MM-RAG 基准测试旨在解决的四个关键属性是：(i) 多模态文档，(ii) 增强的难度，(iii) 现实的 RAG 查询，以及 (iv) 准确的标注。
来自: [2025.acl-long.1528_REAL-MM-RAG, 第1页, 2025.acl-long.1528_REAL-MM-RAG_chunk_000]</t>
        </is>
      </c>
      <c r="E9" t="n">
        <v>1</v>
      </c>
      <c r="F9" t="n">
        <v>1</v>
      </c>
      <c r="G9" t="n">
        <v>1</v>
      </c>
      <c r="H9" t="n">
        <v>1</v>
      </c>
      <c r="I9" t="n">
        <v>1</v>
      </c>
      <c r="J9" t="n">
        <v>1</v>
      </c>
      <c r="K9" t="b">
        <v>0</v>
      </c>
      <c r="L9" t="n">
        <v>4</v>
      </c>
      <c r="M9" t="n">
        <v>0</v>
      </c>
      <c r="N9" t="n">
        <v>0</v>
      </c>
    </row>
    <row r="10">
      <c r="A10" t="inlineStr">
        <is>
          <t>ASTUTE RAG的定义是什么？有什么用?</t>
        </is>
      </c>
      <c r="B10" t="inlineStr">
        <is>
          <t>定义类</t>
        </is>
      </c>
      <c r="C10" t="inlineStr">
        <is>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is>
      </c>
      <c r="D10" t="inlineStr">
        <is>
          <t>ASTUTE RAG是一种新颖的检索增强生成方法，旨在克服不完美检索增强和知识冲突。它通过自适应地引出LLM的内部知识，并以源感知的方式迭代整合内部与外部知识，最终根据信息可靠性确定答案，从而提升RAG系统的鲁棒性和可信度。
来自: [2025.acl-long.1476_Astute RAG, 第2页, 2025.acl-long.1476_Astute RAG_chunk_002]
来自: [2025.acl-long.1476_Astute RAG, 第4页, 2025.acl-long.1476_Astute RAG_chunk_004]</t>
        </is>
      </c>
      <c r="E10" t="n">
        <v>1</v>
      </c>
      <c r="F10" t="n">
        <v>1</v>
      </c>
      <c r="G10" t="n">
        <v>1</v>
      </c>
      <c r="H10" t="n">
        <v>1</v>
      </c>
      <c r="I10" t="n">
        <v>1</v>
      </c>
      <c r="J10" t="n">
        <v>1</v>
      </c>
      <c r="K10" t="b">
        <v>0</v>
      </c>
      <c r="L10" t="n">
        <v>3</v>
      </c>
      <c r="M10" t="n">
        <v>0</v>
      </c>
      <c r="N10" t="n">
        <v>0</v>
      </c>
    </row>
    <row r="11">
      <c r="A11" t="inlineStr">
        <is>
          <t>L-CiteEval的定义是什么？</t>
        </is>
      </c>
      <c r="B11" t="inlineStr">
        <is>
          <t>定义类</t>
        </is>
      </c>
      <c r="C11" t="inlineStr">
        <is>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is>
      </c>
      <c r="D11" t="inlineStr">
        <is>
          <t>L-CiteEval是一个开箱即用的评估套件，用于评估长上下文理解任务中的生成质量和忠实度。
来自: [2025.acl-long.263_L-CiteEval, 第1页, 2025.acl-long.263_L-CiteEval_chunk_000]</t>
        </is>
      </c>
      <c r="E11" t="n">
        <v>1</v>
      </c>
      <c r="F11" t="n">
        <v>1</v>
      </c>
      <c r="G11" t="n">
        <v>1</v>
      </c>
      <c r="H11" t="n">
        <v>1</v>
      </c>
      <c r="I11" t="n">
        <v>1</v>
      </c>
      <c r="J11" t="n">
        <v>0.857</v>
      </c>
      <c r="K11" t="b">
        <v>0</v>
      </c>
      <c r="L11" t="n">
        <v>3</v>
      </c>
      <c r="M11" t="n">
        <v>0</v>
      </c>
      <c r="N11" t="n">
        <v>1</v>
      </c>
    </row>
    <row r="12">
      <c r="A12" t="inlineStr">
        <is>
          <t xml:space="preserve"> LongBench v2基准测试包含多少个问题？上下文长度范围是多少？</t>
        </is>
      </c>
      <c r="B12" t="inlineStr">
        <is>
          <t>定义类</t>
        </is>
      </c>
      <c r="C12" t="inlineStr">
        <is>
          <t>LongBench v2包含503个具有挑战性的多项选择题，上下文长度范围从8,000到200万个单词。</t>
        </is>
      </c>
      <c r="D12" t="inlineStr">
        <is>
          <t>LongBench v2 包含 503 个问题，上下文长度范围从 8k 到 2M 词。
来自: [2025.acl-long.183_LongBench v2, 第1页, 2025.acl-long.183_LongBench v2_chunk_000]</t>
        </is>
      </c>
      <c r="E12" t="n">
        <v>1</v>
      </c>
      <c r="F12" t="n">
        <v>1</v>
      </c>
      <c r="G12" t="n">
        <v>1</v>
      </c>
      <c r="H12" t="n">
        <v>1</v>
      </c>
      <c r="I12" t="n">
        <v>1</v>
      </c>
      <c r="J12" t="n">
        <v>1</v>
      </c>
      <c r="K12" t="b">
        <v>0</v>
      </c>
      <c r="L12" t="n">
        <v>2</v>
      </c>
      <c r="M12" t="n">
        <v>0</v>
      </c>
      <c r="N12" t="n">
        <v>0</v>
      </c>
    </row>
    <row r="13">
      <c r="A13" t="inlineStr">
        <is>
          <t>RHIO框架的三个主要组成部分是什么？</t>
        </is>
      </c>
      <c r="B13" t="inlineStr">
        <is>
          <t>定义类</t>
        </is>
      </c>
      <c r="C13" t="inlineStr">
        <is>
          <t>RHIO框架包含三个主要组件：1.不忠实数据增强, 2.忠实度感知调优, 3.自诱导解码</t>
        </is>
      </c>
      <c r="D13" t="inlineStr">
        <is>
          <t>RHIO框架的三个主要组成部分是：不忠实数据增强（unfaithful data augmentation）、忠实性感知微调（faithfulness-aware tuning）和自诱导解码（self-induced decoding）。
来自: [2025.acl-long.826_Improving Contextual Faithfulness of Large Language Models via Retrieval Heads-Induced Optimization, 第14页, 2025.acl-long.826_Improving Contextual Faithfulness of Large Language Models via Retrieval Heads-Induced Optimization_chunk_014]</t>
        </is>
      </c>
      <c r="E13" t="n">
        <v>1</v>
      </c>
      <c r="F13" t="n">
        <v>1</v>
      </c>
      <c r="G13" t="n">
        <v>1</v>
      </c>
      <c r="H13" t="n">
        <v>1</v>
      </c>
      <c r="I13" t="n">
        <v>1</v>
      </c>
      <c r="J13" t="n">
        <v>1</v>
      </c>
      <c r="K13" t="b">
        <v>0</v>
      </c>
      <c r="L13" t="n">
        <v>3</v>
      </c>
      <c r="M13" t="n">
        <v>0</v>
      </c>
      <c r="N13" t="n">
        <v>0</v>
      </c>
    </row>
    <row r="14">
      <c r="A14" t="inlineStr">
        <is>
          <t>在How to Train Long-Context Language Models中的监督微调（SFT）阶段，论文作者发现使用哪种类型的数据集能够在长上下文任务上取得最佳性能？</t>
        </is>
      </c>
      <c r="B14" t="inlineStr">
        <is>
          <t>方法细节类</t>
        </is>
      </c>
      <c r="C14" t="inlineStr">
        <is>
          <t>作者发现，仅使用标准的、短上下文的指令数据集（如 UltraChat）进行微调，就能在长上下文任务上取得最佳效果。</t>
        </is>
      </c>
      <c r="D14" t="inlineStr">
        <is>
          <t>在监督微调阶段，作者发现仅使用短上下文指令数据集（如UltraChat）即可在长上下文任务上取得最佳性能，添加合成数据反而会损害表现。
来自: [2025.acl-long.366_How to Train Long-Context Language Models (Effectively), 第6页, 2025.acl-long.366_How to Train Long-Context Language Models (Effectively)_chunk_007]</t>
        </is>
      </c>
      <c r="E14" t="n">
        <v>1</v>
      </c>
      <c r="F14" t="n">
        <v>1</v>
      </c>
      <c r="G14" t="n">
        <v>1</v>
      </c>
      <c r="H14" t="n">
        <v>1</v>
      </c>
      <c r="I14" t="n">
        <v>0</v>
      </c>
      <c r="J14" t="n">
        <v>1</v>
      </c>
      <c r="K14" t="b">
        <v>0</v>
      </c>
      <c r="L14" t="n">
        <v>1</v>
      </c>
      <c r="M14" t="n">
        <v>0</v>
      </c>
      <c r="N14" t="n">
        <v>0</v>
      </c>
    </row>
    <row r="15">
      <c r="A15" t="inlineStr">
        <is>
          <t>在"Astute RAG"中，作者提出的knowledge consolidation过程包含哪三个主要步骤？</t>
        </is>
      </c>
      <c r="B15" t="inlineStr">
        <is>
          <t>方法细节类</t>
        </is>
      </c>
      <c r="C15" t="inlineStr">
        <is>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is>
      </c>
      <c r="D15" t="inlineStr">
        <is>
          <t>ASTUTE RAG 的知识整合过程包含三个主要步骤：自适应生成内部知识（adaptive generation of internal knowledge）、源感知知识整合（source-aware knowledge consolidation）和答案最终确定（answer finalization）。
来自: [2025.acl-long.1476_Astute RAG, 第4页, 2025.acl-long.1476_Astute RAG_chunk_004]</t>
        </is>
      </c>
      <c r="E15" t="n">
        <v>1</v>
      </c>
      <c r="F15" t="n">
        <v>1</v>
      </c>
      <c r="G15" t="n">
        <v>1</v>
      </c>
      <c r="H15" t="n">
        <v>1</v>
      </c>
      <c r="I15" t="n">
        <v>1</v>
      </c>
      <c r="J15" t="n">
        <v>0</v>
      </c>
      <c r="K15" t="b">
        <v>0</v>
      </c>
      <c r="L15" t="n">
        <v>0</v>
      </c>
      <c r="M15" t="n">
        <v>3</v>
      </c>
      <c r="N15" t="n">
        <v>3</v>
      </c>
    </row>
    <row r="16">
      <c r="A16" t="inlineStr">
        <is>
          <t>LongRefiner 在推理时如何降低在线延迟？</t>
        </is>
      </c>
      <c r="B16" t="inlineStr">
        <is>
          <t>方法细节类</t>
        </is>
      </c>
      <c r="C16" t="inlineStr">
        <is>
          <t>将推理分为离线阶段和在线阶段。离线阶段完成文档结构化任务，在线阶段仅处理用户查询分析和自适应精炼（输入输出仅数百个 tokens），整体延迟约为标准设置的 25%。</t>
        </is>
      </c>
      <c r="D16" t="inlineStr">
        <is>
          <t>LongRefiner 通过将推理过程拆分为离线与在线两个阶段来降低在线延迟：离线阶段预先完成文档的分层结构化任务，在线阶段仅执行查询分析和自适应细化，从而大幅减少在线处理时间。
来自: [2025.acl-long.176_Hierarchical Document Refinement for Long-context Retrieval-augmented Generation, 第5页, 2025.acl-long.176_Hierarchical Document Refinement for Long-context Retrieval-augmented Generation_chunk_004]</t>
        </is>
      </c>
      <c r="E16" t="n">
        <v>1</v>
      </c>
      <c r="F16" t="n">
        <v>1</v>
      </c>
      <c r="G16" t="n">
        <v>1</v>
      </c>
      <c r="H16" t="n">
        <v>1</v>
      </c>
      <c r="I16" t="n">
        <v>0</v>
      </c>
      <c r="J16" t="n">
        <v>1</v>
      </c>
      <c r="K16" t="b">
        <v>0</v>
      </c>
      <c r="L16" t="n">
        <v>3</v>
      </c>
      <c r="M16" t="n">
        <v>0</v>
      </c>
      <c r="N16" t="n">
        <v>0</v>
      </c>
    </row>
    <row r="17">
      <c r="A17" t="inlineStr">
        <is>
          <t>DRAG框架如何保护用户隐私？请描述其隐私保护机制。</t>
        </is>
      </c>
      <c r="B17" t="inlineStr">
        <is>
          <t>方法细节类</t>
        </is>
      </c>
      <c r="C17" t="inlineStr">
        <is>
          <t>DRAG通过传输去标识化的查询和结构化知识而不是完整响应来保护用户隐私。这样可以避免传输完整的用户查询和敏感信息。</t>
        </is>
      </c>
      <c r="D17" t="inlineStr">
        <is>
          <t>DRAG的隐私保护机制是：本地小模型先对用户查询进行改写，剥离其中的敏感信息，然后将脱敏后的查询发送给云端大模型；云端大模型据此生成相关证据和知识图谱，返回给本地小模型；本地小模型最终基于这些结构化信息生成答案，从而避免用户隐私数据直接暴露给云端。
来自: [2025.acl-long.358_DRAG, 第4页, 2025.acl-long.358_DRAG_chunk_004]</t>
        </is>
      </c>
      <c r="E17" t="n">
        <v>1</v>
      </c>
      <c r="F17" t="n">
        <v>1</v>
      </c>
      <c r="G17" t="n">
        <v>1</v>
      </c>
      <c r="H17" t="n">
        <v>1</v>
      </c>
      <c r="I17" t="n">
        <v>1</v>
      </c>
      <c r="J17" t="n">
        <v>0.667</v>
      </c>
      <c r="K17" t="b">
        <v>0</v>
      </c>
      <c r="L17" t="n">
        <v>1</v>
      </c>
      <c r="M17" t="n">
        <v>0</v>
      </c>
      <c r="N17" t="n">
        <v>1</v>
      </c>
    </row>
    <row r="18">
      <c r="A18" t="inlineStr">
        <is>
          <t>简述 Think&amp; Cite 框架中 SG-MCTS 的工作流程及其步骤。</t>
        </is>
      </c>
      <c r="B18" t="inlineStr">
        <is>
          <t>方法细节类</t>
        </is>
      </c>
      <c r="C18" t="inlineStr">
        <is>
          <t>SG-MCTS利用LLMs的自反思能力来推理MCTS的中间状态，以指导树扩展过程。在每次迭代中，SG-MCTS 遵循四个步骤，即选择、反思引导的扩展、评估和反向传播。</t>
        </is>
      </c>
      <c r="D18" t="inlineStr">
        <is>
          <t>SG-MCTS 在每次迭代中执行四个步骤：选择、反思引导的扩展、评估和反向传播。选择阶段利用 UCT 算法从搜索树中选出最优节点；反思引导的扩展阶段通过“思考-表达-引用”过程生成后继节点，并引入反思步骤对初始查询进行批评和修正，以检索更相关的证据；评估阶段使用进度奖励模型从生成质量和归因一致性两方面计算节点的综合奖励；反向传播阶段则将评估结果向上更新至根节点，以指导后续搜索。
来自: [2025.acl-long.490_Think&amp;Cite, 第3页, 2025.acl-long.490_Think&amp;Cite_chunk_002]  
来自: [2025.acl-long.490_Think&amp;Cite, 第4页, 2025.acl-long.490_Think&amp;Cite_chunk_003]</t>
        </is>
      </c>
      <c r="E18" t="n">
        <v>1</v>
      </c>
      <c r="F18" t="n">
        <v>1</v>
      </c>
      <c r="G18" t="n">
        <v>1</v>
      </c>
      <c r="H18" t="n">
        <v>1</v>
      </c>
      <c r="I18" t="n">
        <v>0.5</v>
      </c>
      <c r="J18" t="n">
        <v>1</v>
      </c>
      <c r="K18" t="b">
        <v>0</v>
      </c>
      <c r="L18" t="n">
        <v>4</v>
      </c>
      <c r="M18" t="n">
        <v>0</v>
      </c>
      <c r="N18" t="n">
        <v>0</v>
      </c>
    </row>
    <row r="19">
      <c r="A19" t="inlineStr">
        <is>
          <t>SETR 的段落选择提示（Passage Selection Prompt）所引导的关键过程包含哪三个具体步骤？每个步骤的核心任务是什么？</t>
        </is>
      </c>
      <c r="B19" t="inlineStr">
        <is>
          <t>方法细节类</t>
        </is>
      </c>
      <c r="C19" t="inlineStr">
        <is>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is>
      </c>
      <c r="D19" t="inlineStr">
        <is>
          <t>SETR 的段落选择提示引导的关键过程包含以下三个步骤：
1. 列举回答查询所需的关键信息需求；
2. 为每个信息需求找到包含相关信息的段落；
3. 选择一个段落子集，该子集能共同提供最全面和多样化的信息覆盖，以有效回答查询。
来自: [2025.acl-long.861_Shifting from Ranking to Set Selection for Retrieval Augmented Generation, 第3页, 2025.acl-long.861_Shifting from Ranking to Set Selection for Retrieval Augmented Generation_chunk_003]</t>
        </is>
      </c>
      <c r="E19" t="n">
        <v>1</v>
      </c>
      <c r="F19" t="n">
        <v>1</v>
      </c>
      <c r="G19" t="n">
        <v>1</v>
      </c>
      <c r="H19" t="n">
        <v>1</v>
      </c>
      <c r="I19" t="n">
        <v>1</v>
      </c>
      <c r="J19" t="n">
        <v>1</v>
      </c>
      <c r="K19" t="b">
        <v>0</v>
      </c>
      <c r="L19" t="n">
        <v>3</v>
      </c>
      <c r="M19" t="n">
        <v>0</v>
      </c>
      <c r="N19" t="n">
        <v>0</v>
      </c>
    </row>
    <row r="20">
      <c r="A20" t="inlineStr">
        <is>
          <t>Meta-Bench基准测试中，α参数的最优范围是多少？这个参数的作用是什么？</t>
        </is>
      </c>
      <c r="B20" t="inlineStr">
        <is>
          <t>方法细节类</t>
        </is>
      </c>
      <c r="C20" t="inlineStr">
        <is>
          <t>α参数的最优范围在0.65到0.8之间。这个参数用于平衡工具描述和参数描述在工具检索中的权重。</t>
        </is>
      </c>
      <c r="D20" t="inlineStr">
        <is>
          <t>根据已有信息，无法回答此问题。</t>
        </is>
      </c>
      <c r="E20" t="n">
        <v>0</v>
      </c>
      <c r="F20" t="n">
        <v>0</v>
      </c>
      <c r="G20" t="n">
        <v>0</v>
      </c>
      <c r="H20" t="n">
        <v>0</v>
      </c>
      <c r="I20" t="n">
        <v>0</v>
      </c>
      <c r="J20" t="n">
        <v>0</v>
      </c>
      <c r="K20" t="b">
        <v>0</v>
      </c>
      <c r="L20" t="n">
        <v>0</v>
      </c>
      <c r="M20" t="n">
        <v>0</v>
      </c>
      <c r="N20" t="n">
        <v>1</v>
      </c>
    </row>
    <row r="21">
      <c r="A21" t="inlineStr">
        <is>
          <t>CypherBench 是如何从 RDF 图生成领域特定属性图的？</t>
        </is>
      </c>
      <c r="B21" t="inlineStr">
        <is>
          <t>方法细节类</t>
        </is>
      </c>
      <c r="C21" t="inlineStr">
        <is>
          <t>CypherBench 通过将 RDF 图转换为多个领域特定的属性图（domain-specific property graphs）来实现这一过程，并使用 Cypher 语言对其进行查询。</t>
        </is>
      </c>
      <c r="D21" t="inlineStr">
        <is>
          <t>CypherBench 通过两步生成领域特定的属性图：首先，手动策划领域特定的属性图模式，包括实体类型、关系类型及其属性，并映射到 Wikidata 的标识符（QID 和 PID）；然后，自动 RDF 到属性图转换引擎根据策划的模式发出 SPARQL 查询，从 Wikidata 获取所有符合模式的实体和关系，并进行数据类型转换、单位标准化和排名过滤等处理，最终生成属性图。
来自: [2025.acl-long.438_CypherBench, 第4页, 2025.acl-long.438_CypherBench_chunk_004]</t>
        </is>
      </c>
      <c r="E21" t="n">
        <v>1</v>
      </c>
      <c r="F21" t="n">
        <v>1</v>
      </c>
      <c r="G21" t="n">
        <v>1</v>
      </c>
      <c r="H21" t="n">
        <v>1</v>
      </c>
      <c r="I21" t="n">
        <v>1</v>
      </c>
      <c r="J21" t="n">
        <v>0.667</v>
      </c>
      <c r="K21" t="b">
        <v>0</v>
      </c>
      <c r="L21" t="n">
        <v>1</v>
      </c>
      <c r="M21" t="n">
        <v>0</v>
      </c>
      <c r="N21" t="n">
        <v>1</v>
      </c>
    </row>
    <row r="22">
      <c r="A22" t="inlineStr">
        <is>
          <t xml:space="preserve"> ClinRaGen框架的三阶段理由蒸馏范式是什么？</t>
        </is>
      </c>
      <c r="B22" t="inlineStr">
        <is>
          <t>方法细节类</t>
        </is>
      </c>
      <c r="C22" t="inlineStr">
        <is>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is>
      </c>
      <c r="D22" t="inlineStr">
        <is>
          <t>ClinRaGen的三阶段理由蒸馏范式是一种逐步整合文本、数值和结构化领域知识的训练策略：第一阶段（医疗笔记理由蒸馏）仅使用医疗笔记训练SLM，使其建立对文本临床信息的基础理解；第二阶段（知识注入与时间序列理由蒸馏）引入知识增强注意力模块，将数值化实验室检测数据与结构化医学知识对齐，以蒸馏出基于实验室检测的理由；第三阶段（全多模态理由蒸馏）完全整合医疗笔记、实验室检测和领域知识，使SLM能够生成临床连贯的多模态理由。
来自: [2025.acl-long.540_Knowledge-Augmented Multimodal Clinical Rationale Generation for Disease Diagnosis with Small Language Models, 第3页, 2025.acl-long.540_Knowledge-Augmented Multimodal Clinical Rationale Generation for Disease Diagnosis with Small Language Models_chunk_003] 和 [2025.acl-long.540_Knowledge-Augmented Multimodal Clinical Rationale Generation for Disease Diagnosis with Small Language Models, 第4页, 2025.acl-long.540_Knowledge-Augmented Multimodal Clinical Rationale Generation for Disease Diagnosis with Small Language Models_chunk_004]</t>
        </is>
      </c>
      <c r="E22" t="n">
        <v>1</v>
      </c>
      <c r="F22" t="n">
        <v>1</v>
      </c>
      <c r="G22" t="n">
        <v>1</v>
      </c>
      <c r="H22" t="n">
        <v>1</v>
      </c>
      <c r="I22" t="n">
        <v>1</v>
      </c>
      <c r="J22" t="n">
        <v>1</v>
      </c>
      <c r="K22" t="b">
        <v>0</v>
      </c>
      <c r="L22" t="n">
        <v>3</v>
      </c>
      <c r="M22" t="n">
        <v>0</v>
      </c>
      <c r="N22" t="n">
        <v>0</v>
      </c>
    </row>
    <row r="23">
      <c r="A23" t="inlineStr">
        <is>
          <t>QAEncoder如何解决文档-查询差距问题？</t>
        </is>
      </c>
      <c r="B23" t="inlineStr">
        <is>
          <t>方法细节类</t>
        </is>
      </c>
      <c r="C23" t="inlineStr">
        <is>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is>
      </c>
      <c r="D23" t="inlineStr">
        <is>
          <t>QAEncoder通过生成多样化的潜在查询，利用蒙特卡洛方法估计这些查询在嵌入空间中的期望（簇中心）作为文档嵌入的鲁棒替代，从而弥合文档与查询之间的语义差距；同时，引入文档指纹策略（如QAE_emb、QAE_txt、QAE_hyb）重新注入文档的独特特征，以解决对齐查询语义后文档区分性下降的问题。
来自: [2025.acl-long.217_QAEncoder, 第1页, 2025.acl-long.217_QAEncoder_chunk_000] [2025.acl-long.217_QAEncoder, 第1页, 2025.acl-long.217_QAEncoder_chunk_001] [2025.acl-long.217_QAEncoder, 第3页, 2025.acl-long.217_QAEncoder_chunk_003] [2025.acl-long.217_QAEncoder, 第4页, 2025.acl-long.217_QAEncoder_chunk_004]</t>
        </is>
      </c>
      <c r="E23" t="n">
        <v>1</v>
      </c>
      <c r="F23" t="n">
        <v>1</v>
      </c>
      <c r="G23" t="n">
        <v>1</v>
      </c>
      <c r="H23" t="n">
        <v>1</v>
      </c>
      <c r="I23" t="n">
        <v>1</v>
      </c>
      <c r="J23" t="n">
        <v>1</v>
      </c>
      <c r="K23" t="b">
        <v>0</v>
      </c>
      <c r="L23" t="n">
        <v>2</v>
      </c>
      <c r="M23" t="n">
        <v>0</v>
      </c>
      <c r="N23" t="n">
        <v>0</v>
      </c>
    </row>
    <row r="24">
      <c r="A24" t="inlineStr">
        <is>
          <t>在 HALOGEN 的文本简化任务中，如何验证模型生成的简化文本是否忠实于原文？</t>
        </is>
      </c>
      <c r="B24" t="inlineStr">
        <is>
          <t>方法细节类</t>
        </is>
      </c>
      <c r="C24" t="inlineStr">
        <is>
          <t>先用 GPT-3.5-turbo 将简化文本分解为独立的原子事实，再用 Llama-2-70B-chat 判断每个原子事实是否被原文蕴含。</t>
        </is>
      </c>
      <c r="D24" t="inlineStr">
        <is>
          <t>在文本简化任务中，HALOGEN 采用与摘要任务相同的流程：先用 GPT-3.5 将模型生成的简化文本分解为独立事实，再用 Llama-2-70B 对每个原子事实进行蕴含判断，以验证其是否忠实于原文。
来自: [2025.acl-long.71_HALoGEN, 第3页, 2025.acl-long.71_HALoGEN_chunk_003]</t>
        </is>
      </c>
      <c r="E24" t="n">
        <v>1</v>
      </c>
      <c r="F24" t="n">
        <v>1</v>
      </c>
      <c r="G24" t="n">
        <v>1</v>
      </c>
      <c r="H24" t="n">
        <v>1</v>
      </c>
      <c r="I24" t="n">
        <v>1</v>
      </c>
      <c r="J24" t="n">
        <v>0.667</v>
      </c>
      <c r="K24" t="b">
        <v>0</v>
      </c>
      <c r="L24" t="n">
        <v>1</v>
      </c>
      <c r="M24" t="n">
        <v>1</v>
      </c>
      <c r="N24" t="n">
        <v>0</v>
      </c>
    </row>
    <row r="25">
      <c r="A25" t="inlineStr">
        <is>
          <t>在"CiteEval"论文中，GPT-4o和Llama-3-70B在Cited scenario和Full scenario下的表现有何差异？</t>
        </is>
      </c>
      <c r="B25" t="inlineStr">
        <is>
          <t>实验结果类</t>
        </is>
      </c>
      <c r="C25" t="inlineStr">
        <is>
          <t>在Cited scenario下，GPT-4o表现最佳，Llama-3-70B与GPT-4o-mini相当；在Full scenario下，Llama-3-70B超越GPT-4o，取得最佳性能。</t>
        </is>
      </c>
      <c r="D25" t="inlineStr">
        <is>
          <t>在Cited scenario下，GPT-4o是表现最好的模型，其得分（0.949）高于Llama-3-70B（0.926）；而在Full scenario下，Llama-3-70B的表现优于GPT-4o，取得了最高分（0.909 vs 0.898）。
来自: [2025.acl-long.1574_CiteEval, 第7页, 2025.acl-long.1574_CiteEval_chunk_007]
来自: [2025.acl-long.1574_CiteEval, 第7页, 2025.acl-long.1574_CiteEval_chunk_008]</t>
        </is>
      </c>
      <c r="E25" t="n">
        <v>1</v>
      </c>
      <c r="F25" t="n">
        <v>1</v>
      </c>
      <c r="G25" t="n">
        <v>1</v>
      </c>
      <c r="H25" t="n">
        <v>1</v>
      </c>
      <c r="I25" t="n">
        <v>0.5</v>
      </c>
      <c r="J25" t="n">
        <v>1</v>
      </c>
      <c r="K25" t="b">
        <v>0</v>
      </c>
      <c r="L25" t="n">
        <v>2</v>
      </c>
      <c r="M25" t="n">
        <v>0</v>
      </c>
      <c r="N25" t="n">
        <v>0</v>
      </c>
    </row>
    <row r="26">
      <c r="A26" t="inlineStr">
        <is>
          <t>"FaithfulRAG"在FaithEval数据集上使用Mistral-7B作为backbone时的准确率是多少？相比最强基线提高了多少？</t>
        </is>
      </c>
      <c r="B26" t="inlineStr">
        <is>
          <t>实验结果类</t>
        </is>
      </c>
      <c r="C26" t="inlineStr">
        <is>
          <t>81.7%，比最强基线(KRE的73.2%)提高了8.5%。</t>
        </is>
      </c>
      <c r="D26" t="inlineStr">
        <is>
          <t>FaithfulRAG在FaithEval数据集上使用Mistral-7B作为backbone时的准确率为81.7%，相比最强基线（KRE的73.2%）提高了8.5%。
来自: [2025.acl-long.1062_FaithfulRAG, 第7页, 2025.acl-long.1062_FaithfulRAG_chunk_009]</t>
        </is>
      </c>
      <c r="E26" t="n">
        <v>1</v>
      </c>
      <c r="F26" t="n">
        <v>1</v>
      </c>
      <c r="G26" t="n">
        <v>1</v>
      </c>
      <c r="H26" t="n">
        <v>1</v>
      </c>
      <c r="I26" t="n">
        <v>1</v>
      </c>
      <c r="J26" t="n">
        <v>1</v>
      </c>
      <c r="K26" t="b">
        <v>0</v>
      </c>
      <c r="L26" t="n">
        <v>1</v>
      </c>
      <c r="M26" t="n">
        <v>0</v>
      </c>
      <c r="N26" t="n">
        <v>0</v>
      </c>
    </row>
    <row r="27">
      <c r="A27" t="inlineStr">
        <is>
          <t>RankCoT 相对于 vanilla RAG 模型的表现如何？这说明了什么？</t>
        </is>
      </c>
      <c r="B27" t="inlineStr">
        <is>
          <t>实验结果类</t>
        </is>
      </c>
      <c r="C27" t="inlineStr">
        <is>
          <t>RankCoT 相比 vanilla RAG 模型有 2.5% 的提升，表明它在提供更有意义的细化方面有效，有助于 LLM 更好地回答问题。</t>
        </is>
      </c>
      <c r="D27" t="inlineStr">
        <is>
          <t>RankCoT 在多个数据集上的平均准确率比 vanilla RAG 模型提升约 2.5%，并且在不同的 RAG 配置（如使用 MiniCPM3-4B 或 Qwen2.5-14B-Instruct）下均保持优势。这说明 RankCoT 能够有效精炼检索到的知识，提供更有意义的精炼结果，从而帮助大语言模型更好地利用外部知识并生成更准确的回答。
来自: [2025.acl-long.629_RankCoT, 第6页, 2025.acl-long.629_RankCoT_chunk_008]</t>
        </is>
      </c>
      <c r="E27" t="n">
        <v>1</v>
      </c>
      <c r="F27" t="n">
        <v>1</v>
      </c>
      <c r="G27" t="n">
        <v>1</v>
      </c>
      <c r="H27" t="n">
        <v>1</v>
      </c>
      <c r="I27" t="n">
        <v>1</v>
      </c>
      <c r="J27" t="n">
        <v>0.667</v>
      </c>
      <c r="K27" t="b">
        <v>0</v>
      </c>
      <c r="L27" t="n">
        <v>1</v>
      </c>
      <c r="M27" t="n">
        <v>0</v>
      </c>
      <c r="N27" t="n">
        <v>1</v>
      </c>
    </row>
    <row r="28">
      <c r="A28" t="inlineStr">
        <is>
          <t>在 HALoGEN 基准测试中，表现最好的 LLM 生成事实的幻觉率范围是多少？</t>
        </is>
      </c>
      <c r="B28" t="inlineStr">
        <is>
          <t>实验结果类</t>
        </is>
      </c>
      <c r="C28" t="inlineStr">
        <is>
          <t>实验发现，即使是表现最好的 LLM，其生成事实的幻觉率也在 3% 到 86% 之间，具体数值取决于所属领域。</t>
        </is>
      </c>
      <c r="D28" t="inlineStr">
        <is>
          <t>在HALoGEN基准测试中，表现最好的LLM生成事实的幻觉率范围在3%到86%之间，具体取决于领域。
来自: [2025.acl-long.71_HALoGEN, 第5页, 2025.acl-long.71_HALoGEN_chunk_005]</t>
        </is>
      </c>
      <c r="E28" t="n">
        <v>0</v>
      </c>
      <c r="F28" t="n">
        <v>1</v>
      </c>
      <c r="G28" t="n">
        <v>1</v>
      </c>
      <c r="H28" t="n">
        <v>0.5</v>
      </c>
      <c r="I28" t="n">
        <v>1</v>
      </c>
      <c r="J28" t="n">
        <v>1</v>
      </c>
      <c r="K28" t="b">
        <v>0</v>
      </c>
      <c r="L28" t="n">
        <v>1</v>
      </c>
      <c r="M28" t="n">
        <v>0</v>
      </c>
      <c r="N28" t="n">
        <v>0</v>
      </c>
    </row>
    <row r="29">
      <c r="A29" t="inlineStr">
        <is>
          <t xml:space="preserve"> 在LongBench v2基准测试中，人类专家在15分钟时间限制下的准确率是多少？</t>
        </is>
      </c>
      <c r="B29" t="inlineStr">
        <is>
          <t>实验结果类</t>
        </is>
      </c>
      <c r="C29" t="inlineStr">
        <is>
          <t>人类专家在15分钟时间限制下的准确率为53.7%。</t>
        </is>
      </c>
      <c r="D29" t="inlineStr">
        <is>
          <t>人类专家在15分钟时间限制下的准确率为53.7%。
来自: [2025.acl-long.183_LongBench v2, 第1页, 2025.acl-long.183_LongBench v2_chunk_000]</t>
        </is>
      </c>
      <c r="E29" t="n">
        <v>1</v>
      </c>
      <c r="F29" t="n">
        <v>1</v>
      </c>
      <c r="G29" t="n">
        <v>1</v>
      </c>
      <c r="H29" t="n">
        <v>1</v>
      </c>
      <c r="I29" t="n">
        <v>1</v>
      </c>
      <c r="J29" t="n">
        <v>1</v>
      </c>
      <c r="K29" t="b">
        <v>0</v>
      </c>
      <c r="L29" t="n">
        <v>1</v>
      </c>
      <c r="M29" t="n">
        <v>0</v>
      </c>
      <c r="N29" t="n">
        <v>0</v>
      </c>
    </row>
    <row r="30">
      <c r="A30" t="inlineStr">
        <is>
          <t>AGENTSTAR方法在WebShop、ALFWorld和BabyAI任务上与GPT-4-Turbo相比有何优势？</t>
        </is>
      </c>
      <c r="B30" t="inlineStr">
        <is>
          <t>实验结果类</t>
        </is>
      </c>
      <c r="C30" t="inlineStr">
        <is>
          <t>AGENTSTAR 在这三个任务上的性能全面超越了 GPT-4-Turbo。其中在 WebShop 上的提升最为显著（远超 GPT-4-Turbo 61 个百分点），在 ALFWorld 和 BabyAI 上也分别实现了大幅领先（超过 GPT-4-Turbo 20.5 和 9.87 个百分点）。</t>
        </is>
      </c>
      <c r="D30" t="inlineStr">
        <is>
          <t>AGENTSTAR在WebShop、ALFWorld和BabyAI任务上均优于GPT-4-Turbo，分别高出61.00、20.50和9.87个百分点。
来自: [2025.acl-long.1355_AgentGym, 第7页, 2025.acl-long.1355_AgentGym_chunk_009]</t>
        </is>
      </c>
      <c r="E30" t="n">
        <v>1</v>
      </c>
      <c r="F30" t="n">
        <v>1</v>
      </c>
      <c r="G30" t="n">
        <v>1</v>
      </c>
      <c r="H30" t="n">
        <v>1</v>
      </c>
      <c r="I30" t="n">
        <v>1</v>
      </c>
      <c r="J30" t="n">
        <v>1</v>
      </c>
      <c r="K30" t="b">
        <v>0</v>
      </c>
      <c r="L30" t="n">
        <v>3</v>
      </c>
      <c r="M30" t="n">
        <v>0</v>
      </c>
      <c r="N30" t="n">
        <v>0</v>
      </c>
    </row>
    <row r="31">
      <c r="A31" t="inlineStr">
        <is>
          <t>在Humanity's Last Exam数据集上，Agentic Reasoning与DeepSeek-R1结合的性能提升是多少？与OpenAI Deep Research的差距如何变化？</t>
        </is>
      </c>
      <c r="B31" t="inlineStr">
        <is>
          <t>实验结果类</t>
        </is>
      </c>
      <c r="C31" t="inlineStr">
        <is>
          <t>在Humanity's Last Exam数据集上，Agentic Reasoning与DeepSeek-R1结合达到了23.8%的准确率，比基础模型提升了14.4%，与专有的OpenAI Deep Research的差距缩小到仅2.8%。</t>
        </is>
      </c>
      <c r="D31" t="inlineStr">
        <is>
          <t>Agentic Reasoning 与 DeepSeek-R1 结合后，在 Humanity's Last Exam 上的准确率从 9.4% 提升至 23.8%，提升了 14.4 个百分点。与 OpenAI Deep Research 的差距从 17.2% 缩小至 2.8%。
来自: [2025.acl-long.1383_Agentic Reasoning, 第1页, 2025.acl-long.1383_Agentic Reasoning_chunk_000]</t>
        </is>
      </c>
      <c r="E31" t="n">
        <v>0</v>
      </c>
      <c r="F31" t="n">
        <v>0</v>
      </c>
      <c r="G31" t="n">
        <v>0</v>
      </c>
      <c r="H31" t="n">
        <v>0</v>
      </c>
      <c r="I31" t="n">
        <v>0</v>
      </c>
      <c r="J31" t="n">
        <v>1</v>
      </c>
      <c r="K31" t="b">
        <v>0</v>
      </c>
      <c r="L31" t="n">
        <v>3</v>
      </c>
      <c r="M31" t="n">
        <v>0</v>
      </c>
      <c r="N31" t="n">
        <v>0</v>
      </c>
    </row>
    <row r="32">
      <c r="A32" t="inlineStr">
        <is>
          <t>在GAIA基准测试中，Agentic Reasoning在不同级别任务上的表现如何？</t>
        </is>
      </c>
      <c r="B32" t="inlineStr">
        <is>
          <t>实验结果类</t>
        </is>
      </c>
      <c r="C32" t="inlineStr">
        <is>
          <t>在GAIA基准测试中，Agentic Reasoning在Level 1和Level 2任务上超越了OpenAI的Deep Research，在Level 3任务上将差距缩小到2.26%。</t>
        </is>
      </c>
      <c r="D32" t="inlineStr">
        <is>
          <t>在GAIA基准测试中，Agentic Reasoning在Level 1上的准确率为74.36%，Level 2为69.21%，Level 3为45.46%，平均准确率为66.13%。
来自: [2025.acl-long.1383_Agentic Reasoning, 第5页, 2025.acl-long.1383_Agentic Reasoning_chunk_004]</t>
        </is>
      </c>
      <c r="E32" t="n">
        <v>1</v>
      </c>
      <c r="F32" t="n">
        <v>1</v>
      </c>
      <c r="G32" t="n">
        <v>1</v>
      </c>
      <c r="H32" t="n">
        <v>1</v>
      </c>
      <c r="I32" t="n">
        <v>1</v>
      </c>
      <c r="J32" t="n">
        <v>0</v>
      </c>
      <c r="K32" t="b">
        <v>0</v>
      </c>
      <c r="L32" t="n">
        <v>0</v>
      </c>
      <c r="M32" t="n">
        <v>0</v>
      </c>
      <c r="N32" t="n">
        <v>1</v>
      </c>
    </row>
    <row r="33">
      <c r="A33" t="inlineStr">
        <is>
          <t xml:space="preserve"> 在Asclepius医学基准测试中，人类医生与Med-MLLMs的表现对比如何？</t>
        </is>
      </c>
      <c r="B33" t="inlineStr">
        <is>
          <t>实验结果类</t>
        </is>
      </c>
      <c r="C33" t="inlineStr">
        <is>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is>
      </c>
      <c r="D33" t="inlineStr">
        <is>
          <t>在Asclepius基准测试中，人类医生在所有医学专科的诊断准确率上均优于Med-MLLMs。即使初级医生的平均准确率（57.4%）也略高于表现最好的Med-MLLM GPT-4V（54.3%）。不过，GPT-4V的性能已接近初级医生，且Med-MLLMs在不同专科间的表现差异更小，显示出更均匀的知识覆盖。
来自: [2025.acl-long.1178_Asclepius, 第7页, 2025.acl-long.1178_Asclepius_chunk_008] [2025.acl-long.1178_Asclepius, 第14页, 2025.acl-long.1178_Asclepius_chunk_011]</t>
        </is>
      </c>
      <c r="E33" t="n">
        <v>1</v>
      </c>
      <c r="F33" t="n">
        <v>1</v>
      </c>
      <c r="G33" t="n">
        <v>1</v>
      </c>
      <c r="H33" t="n">
        <v>1</v>
      </c>
      <c r="I33" t="n">
        <v>1</v>
      </c>
      <c r="J33" t="n">
        <v>1</v>
      </c>
      <c r="K33" t="b">
        <v>0</v>
      </c>
      <c r="L33" t="n">
        <v>3</v>
      </c>
      <c r="M33" t="n">
        <v>0</v>
      </c>
      <c r="N33" t="n">
        <v>0</v>
      </c>
    </row>
    <row r="34">
      <c r="A34" t="inlineStr">
        <is>
          <t>在LongDocURL基准测试中，GPT-4o的表现如何？其他开源模型呢？</t>
        </is>
      </c>
      <c r="B34" t="inlineStr">
        <is>
          <t>实验结果类</t>
        </is>
      </c>
      <c r="C34" t="inlineStr">
        <is>
          <t>在LongDocURL基准测试中，只有GPT-4o达到了及格标准，得分为64.5，表明该基准对当前模型提出了重大挑战。在开源模型中，只有Qwen2-VL（得分30.6）和LLaVA-OneVision（得分22.0和25.0）超过了20分的阈值，其他参数少于13B的模型都低于这个阈值。</t>
        </is>
      </c>
      <c r="D34" t="inlineStr">
        <is>
          <t>在LongDocURL基准测试中，GPT-4o是表现最好的模型，得分64.5，是唯一达到及格标准的模型。开源模型的表现则明显落后，其中得分最高的是Qwen2-VL（30.6分），LLaVA-OneVision（得分22.0和25.0）也超过了20分，其余开源模型得分均低于20。
来自: [2025.acl-long.57_LongDocURL, 第6页, 2025.acl-long.57_LongDocURL_chunk_006]
来自: [2025.acl-long.57_LongDocURL, 第1页, 2025.acl-long.57_LongDocURL_chunk_001]</t>
        </is>
      </c>
      <c r="E34" t="n">
        <v>1</v>
      </c>
      <c r="F34" t="n">
        <v>1</v>
      </c>
      <c r="G34" t="n">
        <v>1</v>
      </c>
      <c r="H34" t="n">
        <v>1</v>
      </c>
      <c r="I34" t="n">
        <v>1</v>
      </c>
      <c r="J34" t="n">
        <v>1</v>
      </c>
      <c r="K34" t="b">
        <v>0</v>
      </c>
      <c r="L34" t="n">
        <v>3</v>
      </c>
      <c r="M34" t="n">
        <v>0</v>
      </c>
      <c r="N34" t="n">
        <v>0</v>
      </c>
    </row>
    <row r="35">
      <c r="A35" t="inlineStr">
        <is>
          <t>RAGEval 提出的自动评估指标与人工评估的一致性如何？</t>
        </is>
      </c>
      <c r="B35" t="inlineStr">
        <is>
          <t>实验结果类</t>
        </is>
      </c>
      <c r="C35" t="inlineStr">
        <is>
          <t>实验结果表明，RAGEval 的机器自动评估与人工评估在所有指标上均表现出高度一致性。两者之间的最终绝对差异仅为 1.67%。</t>
        </is>
      </c>
      <c r="D35" t="inlineStr">
        <is>
          <t>RAGEval 提出的三个自动评估指标（Completeness、Hallucination、Irrelevance）与人工评估具有高度一致性。如表4所示，Completeness的Spearman相关系数为0.8536，Pearson相关系数为0.8549；Irrelevancy的Spearman相关系数为0.7589，Pearson相关系数为0.7568；Hallucination的Spearman相关系数为0.7983，Pearson相关系数为0.7851，且所有结果均具有统计显著性（p &lt; 0.0001）。
来自: [2025.acl-long.418_RAGEval, 第12页, 2025.acl-long.418_RAGEval_chunk_011]</t>
        </is>
      </c>
      <c r="E35" t="n">
        <v>0</v>
      </c>
      <c r="F35" t="n">
        <v>0</v>
      </c>
      <c r="G35" t="n">
        <v>1</v>
      </c>
      <c r="H35" t="n">
        <v>0.25</v>
      </c>
      <c r="I35" t="n">
        <v>0</v>
      </c>
      <c r="J35" t="n">
        <v>0</v>
      </c>
      <c r="K35" t="b">
        <v>0</v>
      </c>
      <c r="L35" t="n">
        <v>0</v>
      </c>
      <c r="M35" t="n">
        <v>3</v>
      </c>
      <c r="N35" t="n">
        <v>1</v>
      </c>
    </row>
    <row r="36">
      <c r="A36" t="inlineStr">
        <is>
          <t>在利用大模型内部知识应对知识冲突时，《Astute RAG》与《FaithfulRAG》各自采用了什么核心机制/模块来提取或生成内部知识？</t>
        </is>
      </c>
      <c r="B36" t="inlineStr">
        <is>
          <t>跨论文比较类</t>
        </is>
      </c>
      <c r="C36" t="inlineStr">
        <is>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is>
      </c>
      <c r="D36" t="inlineStr">
        <is>
          <t>FaithfulRAG 采用 **Self-Fact Mining** 模块，通过 Self-Knowledge Extraction、Self-Context Generation 和 Self-Fact Extraction 三个子阶段，将大模型的参数知识外部化为细粒度的“self-facts”。  
Astute RAG 则通过 **自适应生成内部知识段落** 的方式，利用宪法原则引导大模型生成准确、相关、无幻觉的内部段落，并让模型自行决定生成段落的数量。
来自: [2025.acl-long.1062_FaithfulRAG, 第3页, 2025.acl-long.1062_FaithfulRAG_chunk_004]  
来自: [2025.acl-long.1476_Astute RAG, 第5页, 2025.acl-long.1476_Astute RAG_chunk_005]</t>
        </is>
      </c>
      <c r="E36" t="n">
        <v>1</v>
      </c>
      <c r="F36" t="n">
        <v>1</v>
      </c>
      <c r="G36" t="n">
        <v>1</v>
      </c>
      <c r="H36" t="n">
        <v>1</v>
      </c>
      <c r="I36" t="n">
        <v>1</v>
      </c>
      <c r="J36" t="n">
        <v>1</v>
      </c>
      <c r="K36" t="b">
        <v>0</v>
      </c>
      <c r="L36" t="n">
        <v>2</v>
      </c>
      <c r="M36" t="n">
        <v>0</v>
      </c>
      <c r="N36" t="n">
        <v>0</v>
      </c>
    </row>
    <row r="37">
      <c r="A37" t="inlineStr">
        <is>
          <t>"UniRAG"和"FaithfulRAG"在处理查询理解方面的核心创新分别是什么？</t>
        </is>
      </c>
      <c r="B37" t="inlineStr">
        <is>
          <t>跨论文比较类</t>
        </is>
      </c>
      <c r="C37" t="inlineStr">
        <is>
          <t>UniRAG提出统一的查询理解框架，集成查询增强和查询编码两个阶段；FaithfulRAG通过自我事实挖掘和自思考模块，在事实级别识别并解决参数化知识与检索上下文之间的冲突，提高语义一致性。</t>
        </is>
      </c>
      <c r="D37" t="inlineStr">
        <is>
          <t>UniRAG的核心创新在于将查询增强与查询编码统一于一个解码器-only大语言模型中，消除了传统方法的任务分离，并能够根据查询自适应地选择最优增强策略（如查询释义、扩展或抽象）。  
来自: [2025.acl-long.693_UniRAG, 第1页, 2025.acl-long.693_UniRAG_chunk_000] 和 [2025.acl-long.693_UniRAG, 第1页, 2025.acl-long.693_UniRAG_chunk_001]
FaithfulRAG的核心创新在于通过自我事实挖掘模块将大语言模型的参数知识外化为事实层面的细粒度知识，并设计自我思考模块，让模型在生成前能动态识别、推理并整合这些自我事实与检索上下文之间的冲突知识。  
来自: [2025.acl-long.1062_FaithfulRAG, 第2页, 2025.acl-long.1062_FaithfulRAG_chunk_002] 和 [2025.acl-long.1062_FaithfulRAG, 第5页, 2025.acl-long.1062_FaithfulRAG_chunk_005]</t>
        </is>
      </c>
      <c r="E37" t="n">
        <v>1</v>
      </c>
      <c r="F37" t="n">
        <v>1</v>
      </c>
      <c r="G37" t="n">
        <v>1</v>
      </c>
      <c r="H37" t="n">
        <v>1</v>
      </c>
      <c r="I37" t="n">
        <v>1</v>
      </c>
      <c r="J37" t="n">
        <v>1</v>
      </c>
      <c r="K37" t="b">
        <v>0</v>
      </c>
      <c r="L37" t="n">
        <v>2</v>
      </c>
      <c r="M37" t="n">
        <v>0</v>
      </c>
      <c r="N37" t="n">
        <v>0</v>
      </c>
    </row>
    <row r="38">
      <c r="A38" t="inlineStr">
        <is>
          <t>比较MEMERAG和DragonBall两个基准的异同点，它们各自关注的评估维度是什么？</t>
        </is>
      </c>
      <c r="B38" t="inlineStr">
        <is>
          <t>跨论文比较类</t>
        </is>
      </c>
      <c r="C38" t="inlineStr">
        <is>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is>
      </c>
      <c r="D38" t="inlineStr">
        <is>
          <t>MEMERAG和DragonBall都是用于评估RAG系统的基准，但侧重点不同。MEMERAG是一个多语言元评估基准，关注**忠实性（Faithfulness）**和**相关性（Relevance）**两个维度，即答案是否基于上下文以及是否与问题相关。DragonBall是一个中英文场景特定的评估数据集，关注**完整性（Completeness）、幻觉（Hallucination）和不相关性（Irrelevance）**三个维度，分别衡量答案对关键信息的覆盖、事实错误和无关内容。
来自: [2025.acl-long.1101_MEMERAG, 第3页, 2025.acl-long.1101_MEMERAG_chunk_003]
来自: [2025.acl-long.418_RAGEval, 第2页, 2025.acl-long.418_RAGEval_chunk_001]</t>
        </is>
      </c>
      <c r="E38" t="n">
        <v>0</v>
      </c>
      <c r="F38" t="n">
        <v>1</v>
      </c>
      <c r="G38" t="n">
        <v>1</v>
      </c>
      <c r="H38" t="n">
        <v>0.5</v>
      </c>
      <c r="I38" t="n">
        <v>0.5</v>
      </c>
      <c r="J38" t="n">
        <v>0.667</v>
      </c>
      <c r="K38" t="b">
        <v>0</v>
      </c>
      <c r="L38" t="n">
        <v>2</v>
      </c>
      <c r="M38" t="n">
        <v>1</v>
      </c>
      <c r="N38" t="n">
        <v>1</v>
      </c>
    </row>
    <row r="39">
      <c r="A39" t="inlineStr">
        <is>
          <t>SYNQA 和 RHIO 分别通过什么方式生成训练数据？这两种数据生成策略在提升模型归因能力上有什么不同？</t>
        </is>
      </c>
      <c r="B39" t="inlineStr">
        <is>
          <t>跨论文比较类</t>
        </is>
      </c>
      <c r="C39" t="inlineStr">
        <is>
          <t>SYNQA：通过 LLM 生成式合成完全受上下文支持的 QA 对（正样本），用于微调小模型的归因能力。
RHIO：通过选择性掩码检索头，让 LLM 自身生成模拟真实错误的不忠实样本（负样本），并与忠实样本进行联合训练。</t>
        </is>
      </c>
      <c r="D39" t="inlineStr">
        <is>
          <t>SYNQA 通过生成式方法合成训练数据：先从维基百科选定上下文句子，再让大语言模型（如 Llama 70B）生成完全由这些句子支持的问答对，并加入干扰项以增加真实性。RHIO 则通过判别式方法生成训练数据：先掩码检索头（retrieval heads）来诱导模型产生不忠实的回答，将这些不忠实样本与忠实样本一起用于训练，使模型学会区分忠实与不忠实的输出。
在提升模型归因能力上，两者的侧重点不同。SYNQA 生成的训练数据直接包含清晰的归因路径，训练出的模型在召回率上提升明显，能够识别更完整的支持证据，从而增强上下文归因的全面性。RHIO 则通过让模型对比忠实与不忠实样本，强化模型对“忠实性”的感知，从而在生成回答时更准确地依据上下文，提升的是上下文忠实度（faithfulness），而非直接针对句子级归因的精确率或召回率。
来自: [2025.acl-long.828_On Synthesizing Data for Context Attribution in Question Answering, 第2页, 2025.acl-long.828_On Synthesizing Data for Context Attribution in Question Answering_chunk_002]、[2025.acl-long.828_On Synthesizing Data for Context Attribution in Question Answering, 第5页, 2025.acl-long.828_On Synthesizing Data for Context Attribution in Question Answering_chunk_004]、[2025.acl-long.826_Improving Contextual Faithfulness of Large Language Models via Retrieval Heads-Induced Optimization, 第8页, 2025.acl-long.826_Improving Contextual Faithfulness of Large Language Models via Retrieval Heads-Induced Optimization_chunk_009]、[2025.acl-long.826_Improving Contextual Faithfulness of Large Language Models via Retrieval Heads-Induced Optimization, 第7页, 2025.acl-long.826_Improving Contextual Faithfulness of Large Language Models via Retrieval Heads-Induced Optimization_chunk_008]</t>
        </is>
      </c>
      <c r="E39" t="n">
        <v>1</v>
      </c>
      <c r="F39" t="n">
        <v>1</v>
      </c>
      <c r="G39" t="n">
        <v>1</v>
      </c>
      <c r="H39" t="n">
        <v>1</v>
      </c>
      <c r="I39" t="n">
        <v>1</v>
      </c>
      <c r="J39" t="n">
        <v>1</v>
      </c>
      <c r="K39" t="b">
        <v>0</v>
      </c>
      <c r="L39" t="n">
        <v>2</v>
      </c>
      <c r="M39" t="n">
        <v>0</v>
      </c>
      <c r="N39" t="n">
        <v>0</v>
      </c>
    </row>
    <row r="40">
      <c r="A40" t="inlineStr">
        <is>
          <t>比较LongBench v2和AGENTGYM应用场景区别。</t>
        </is>
      </c>
      <c r="B40" t="inlineStr">
        <is>
          <t>跨论文比较类</t>
        </is>
      </c>
      <c r="C40" t="inlineStr">
        <is>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is>
      </c>
      <c r="D40" t="inlineStr">
        <is>
          <t>LongBench v2的应用场景是评估大语言模型对长文本的深度理解与推理能力，涵盖单文档/多文档问答、长上下文学习等任务。AGENTGYM的应用场景是评估和训练基于大语言模型的智能体在网页导航、文本游戏、具身任务等交互式环境中的决策与执行能力。
来自: [2025.acl-long.183_LongBench v2, 第1页, 2025.acl-long.183_LongBench v2_chunk_000]、[2025.acl-long.1355_AgentGym, 第1页, 2025.acl-long.1355_AgentGym_chunk_000]</t>
        </is>
      </c>
      <c r="E40" t="n">
        <v>1</v>
      </c>
      <c r="F40" t="n">
        <v>1</v>
      </c>
      <c r="G40" t="n">
        <v>1</v>
      </c>
      <c r="H40" t="n">
        <v>1</v>
      </c>
      <c r="I40" t="n">
        <v>1</v>
      </c>
      <c r="J40" t="n">
        <v>0.5</v>
      </c>
      <c r="K40" t="b">
        <v>0</v>
      </c>
      <c r="L40" t="n">
        <v>2</v>
      </c>
      <c r="M40" t="n">
        <v>0</v>
      </c>
      <c r="N40" t="n">
        <v>4</v>
      </c>
    </row>
    <row r="41">
      <c r="A41" t="inlineStr">
        <is>
          <t>Agentic Reasoning 与 AR-MCTS 分别采用什么核心机制来提升复杂推理能力？</t>
        </is>
      </c>
      <c r="B41" t="inlineStr">
        <is>
          <t>跨论文比较类</t>
        </is>
      </c>
      <c r="C41" t="inlineStr">
        <is>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is>
      </c>
      <c r="D41" t="inlineStr">
        <is>
          <t>Agentic Reasoning 的核心机制是集成外部基于 LLM 的代理工具（特别是 Web-Search、Code 和 Mind-Map 代理）来增强推理过程。  
AR-MCTS 的核心机制是通过主动检索（Active Retrieval）与蒙特卡洛树搜索（MCTS）相结合，并逐步对齐过程奖励模型（PRM），以实现多模态推理的逐步验证与提升。
来自: [2025.acl-long.1383_Agentic Reasoning, 第1页, 2025.acl-long.1383_Agentic Reasoning_chunk_001]  
来自: [2025.acl-long.180_Progressive Multimodal Reasoning via Active Retrieval, 第1页, 2025.acl-long.180_Progressive Multimodal Reasoning via Active Retrieval_chunk_000]</t>
        </is>
      </c>
      <c r="E41" t="n">
        <v>1</v>
      </c>
      <c r="F41" t="n">
        <v>1</v>
      </c>
      <c r="G41" t="n">
        <v>1</v>
      </c>
      <c r="H41" t="n">
        <v>1</v>
      </c>
      <c r="I41" t="n">
        <v>1</v>
      </c>
      <c r="J41" t="n">
        <v>0.8</v>
      </c>
      <c r="K41" t="b">
        <v>0</v>
      </c>
      <c r="L41" t="n">
        <v>2</v>
      </c>
      <c r="M41" t="n">
        <v>0</v>
      </c>
      <c r="N41" t="n">
        <v>1</v>
      </c>
    </row>
    <row r="42">
      <c r="A42" t="inlineStr">
        <is>
          <t>MAIN‑RAG 与 RAG‑Critic 在提升 RAG 系统可靠性方面分别采用了什么核心方法？</t>
        </is>
      </c>
      <c r="B42" t="inlineStr">
        <is>
          <t>跨论文比较类</t>
        </is>
      </c>
      <c r="C42" t="inlineStr">
        <is>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is>
      </c>
      <c r="D42" t="inlineStr">
        <is>
          <t>MAIN-RAG 采用的核心方法是**训练无关的多智能体协作过滤与自适应阈值机制**，通过多个大语言模型智能体协同对检索文档进行评分和排序，并基于分数分布动态调整过滤阈值，以滤除噪声文档。
来自: [2025.acl-long.131_MAIN-RAG, 第1页, 2025.acl-long.131_MAIN-RAG_chunk_001] 和 [2025.acl-long.131_MAIN-RAG, 第2页, 2025.acl-long.131_MAIN-RAG_chunk_002]
RAG-Critic 采用的核心方法是**基于批评模型的智能体工作流**，它通过构建分层错误体系并训练一个错误批评模型，来自动化地提供细粒度错误反馈，并以此引导一个可定制的智能体工作流进行错误驱动的纠正。
来自: [2025.acl-long.179_RAG-Critic, 第9页, 2025.acl-long.179_RAG-Critic_chunk_010] 和 [2025.acl-long.179_RAG-Critic, 第24页, 2025.acl-long.179_RAG-Critic_chunk_021]</t>
        </is>
      </c>
      <c r="E42" t="n">
        <v>0</v>
      </c>
      <c r="F42" t="n">
        <v>1</v>
      </c>
      <c r="G42" t="n">
        <v>1</v>
      </c>
      <c r="H42" t="n">
        <v>0.5</v>
      </c>
      <c r="I42" t="n">
        <v>0.5</v>
      </c>
      <c r="J42" t="n">
        <v>0.8</v>
      </c>
      <c r="K42" t="b">
        <v>0</v>
      </c>
      <c r="L42" t="n">
        <v>2</v>
      </c>
      <c r="M42" t="n">
        <v>0</v>
      </c>
      <c r="N42" t="n">
        <v>1</v>
      </c>
    </row>
    <row r="43">
      <c r="A43" t="inlineStr">
        <is>
          <t>在构建可靠的问答（QA）系统时，这QAEncoder与On Synthesizing Data for Context Attribution in Question Answering两篇论文分别侧重于优化系统工作流的哪个阶段？它们各自试图解决的核心痛点是什么？</t>
        </is>
      </c>
      <c r="B43" t="inlineStr">
        <is>
          <t>跨论文比较类</t>
        </is>
      </c>
      <c r="C43" t="inlineStr">
        <is>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is>
      </c>
      <c r="D43" t="inlineStr">
        <is>
          <t>QAEncoder侧重于优化QA系统的**检索阶段**，其核心痛点是**文档与查询之间的语义鸿沟**（document-query gap），即用户查询与相关文档在词汇、句法、语义等维度上的不匹配，导致难以精确检索到相关文档。
On Synthesizing Data for Context Attribution in Question Answering侧重于优化QA系统的**后处理/答案验证阶段**，其核心痛点是**大语言模型生成答案的幻觉问题**，即生成的答案可能事实性错误，因此需要为答案提供上下文归因（context attribution），将答案与参考文本中的相关部分链接起来，以提升可信度。
来自: [2025.acl-long.217_QAEncoder, 第1页, 2025.acl-long.217_QAEncoder_chunk_000]
来自: [2025.acl-long.828_On Synthesizing Data for Context Attribution in Question Answering, 第1页, 2025.acl-long.828_On Synthesizing Data for Context Attribution in Question Answering_chunk_000]</t>
        </is>
      </c>
      <c r="E43" t="n">
        <v>0</v>
      </c>
      <c r="F43" t="n">
        <v>1</v>
      </c>
      <c r="G43" t="n">
        <v>1</v>
      </c>
      <c r="H43" t="n">
        <v>0.5</v>
      </c>
      <c r="I43" t="n">
        <v>0.5</v>
      </c>
      <c r="J43" t="n">
        <v>1</v>
      </c>
      <c r="K43" t="b">
        <v>0</v>
      </c>
      <c r="L43" t="n">
        <v>2</v>
      </c>
      <c r="M43" t="n">
        <v>0</v>
      </c>
      <c r="N43" t="n">
        <v>0</v>
      </c>
    </row>
    <row r="44">
      <c r="A44" t="inlineStr">
        <is>
          <t>这10篇论文中哪一篇提出了名为"RAG-Guard"的安全防护框架？</t>
        </is>
      </c>
      <c r="B44" t="inlineStr">
        <is>
          <t>不可回答类</t>
        </is>
      </c>
      <c r="C44" t="inlineStr">
        <is>
          <t>无法回答。</t>
        </is>
      </c>
      <c r="D44" t="inlineStr">
        <is>
          <t>根据已有信息，无法回答此问题。</t>
        </is>
      </c>
      <c r="J44" t="n">
        <v>1</v>
      </c>
      <c r="K44" t="b">
        <v>1</v>
      </c>
      <c r="L44" t="n">
        <v>1</v>
      </c>
      <c r="M44" t="n">
        <v>0</v>
      </c>
      <c r="N44" t="n">
        <v>0</v>
      </c>
      <c r="O44" t="b">
        <v>1</v>
      </c>
    </row>
    <row r="45">
      <c r="A45" t="inlineStr">
        <is>
          <t>"ProLong"模型在训练过程中使用了哪种具体的优化器来处理长序列训练的梯度问题？</t>
        </is>
      </c>
      <c r="B45" t="inlineStr">
        <is>
          <t>不可回答类</t>
        </is>
      </c>
      <c r="C45" t="inlineStr">
        <is>
          <t>无法回答。</t>
        </is>
      </c>
      <c r="D45" t="inlineStr">
        <is>
          <t>ProLong 模型在长序列继续训练阶段使用了 AdamW 优化器，其具体参数设置为：权重衰减 = 0.1，β₁ = 0.9，β₂ = 0.95。
来自: [2025.acl-long.366_How to Train Long-Context Language Models (Effectively), 第13页, 2025.acl-long.366_How to Train Long-Context Language Models (Effectively)_chunk_013]</t>
        </is>
      </c>
      <c r="J45" t="n">
        <v>0</v>
      </c>
      <c r="K45" t="b">
        <v>1</v>
      </c>
      <c r="L45" t="n">
        <v>0</v>
      </c>
      <c r="M45" t="n">
        <v>1</v>
      </c>
      <c r="N45" t="n">
        <v>0</v>
      </c>
      <c r="O45" t="b">
        <v>0</v>
      </c>
    </row>
    <row r="46">
      <c r="A46" t="inlineStr">
        <is>
          <t>SETR模型在训练时具体的训练时间是多少小时？</t>
        </is>
      </c>
      <c r="B46" t="inlineStr">
        <is>
          <t>不可回答类</t>
        </is>
      </c>
      <c r="C46" t="inlineStr">
        <is>
          <t>无法回答。</t>
        </is>
      </c>
      <c r="D46" t="inlineStr">
        <is>
          <t>根据已有信息，无法回答此问题。</t>
        </is>
      </c>
      <c r="J46" t="n">
        <v>1</v>
      </c>
      <c r="K46" t="b">
        <v>1</v>
      </c>
      <c r="L46" t="n">
        <v>1</v>
      </c>
      <c r="M46" t="n">
        <v>0</v>
      </c>
      <c r="N46" t="n">
        <v>0</v>
      </c>
      <c r="O46" t="b">
        <v>1</v>
      </c>
    </row>
    <row r="47">
      <c r="A47" t="inlineStr">
        <is>
          <t xml:space="preserve"> L-CiteEval基准中使用的NLI模型deberta-base-long-nli的准确率是多少？该模型在哪些具体数据集上进行了训练？</t>
        </is>
      </c>
      <c r="B47" t="inlineStr">
        <is>
          <t>不可回答类</t>
        </is>
      </c>
      <c r="C47" t="inlineStr">
        <is>
          <t>无法回答。</t>
        </is>
      </c>
      <c r="D47" t="inlineStr">
        <is>
          <t>根据已有信息，无法回答此问题。</t>
        </is>
      </c>
      <c r="J47" t="n">
        <v>1</v>
      </c>
      <c r="K47" t="b">
        <v>1</v>
      </c>
      <c r="L47" t="n">
        <v>1</v>
      </c>
      <c r="M47" t="n">
        <v>0</v>
      </c>
      <c r="N47" t="n">
        <v>0</v>
      </c>
      <c r="O47" t="b">
        <v>1</v>
      </c>
    </row>
    <row r="48">
      <c r="A48" t="inlineStr">
        <is>
          <t>论文中是否提到了SYNQA方法在医疗领域的具体应用案例？</t>
        </is>
      </c>
      <c r="B48" t="inlineStr">
        <is>
          <t>不可回答类</t>
        </is>
      </c>
      <c r="C48" t="inlineStr">
        <is>
          <t>无法回答。</t>
        </is>
      </c>
      <c r="D48" t="inlineStr">
        <is>
          <t>根据已有信息，无法回答此问题。</t>
        </is>
      </c>
      <c r="J48" t="n">
        <v>1</v>
      </c>
      <c r="K48" t="b">
        <v>1</v>
      </c>
      <c r="L48" t="n">
        <v>1</v>
      </c>
      <c r="M48" t="n">
        <v>0</v>
      </c>
      <c r="N48" t="n">
        <v>0</v>
      </c>
      <c r="O48" t="b">
        <v>1</v>
      </c>
    </row>
    <row r="49">
      <c r="A49" t="inlineStr">
        <is>
          <t>论文中是否提供了RHIO方法在实时应用场景中的延迟测试数据？</t>
        </is>
      </c>
      <c r="B49" t="inlineStr">
        <is>
          <t>不可回答类</t>
        </is>
      </c>
      <c r="C49" t="inlineStr">
        <is>
          <t>无法回答。</t>
        </is>
      </c>
      <c r="D49" t="inlineStr">
        <is>
          <t>根据已有信息，无法回答此问题。</t>
        </is>
      </c>
      <c r="J49" t="n">
        <v>1</v>
      </c>
      <c r="K49" t="b">
        <v>1</v>
      </c>
      <c r="L49" t="n">
        <v>1</v>
      </c>
      <c r="M49" t="n">
        <v>0</v>
      </c>
      <c r="N49" t="n">
        <v>0</v>
      </c>
      <c r="O49" t="b">
        <v>1</v>
      </c>
    </row>
    <row r="50">
      <c r="A50" t="inlineStr">
        <is>
          <t>Agentic Reasoning框架中使用的Mind-Map agent的具体神经网络架构是什么？</t>
        </is>
      </c>
      <c r="B50" t="inlineStr">
        <is>
          <t>不可回答类</t>
        </is>
      </c>
      <c r="C50" t="inlineStr">
        <is>
          <t>无法回答。</t>
        </is>
      </c>
      <c r="D50" t="inlineStr">
        <is>
          <t>Mind-Map agent 本身没有特定的神经网络架构，它通过调用大型语言模型 DeepSeek-V3 来完成知识图谱的构建和检索任务。
来自: [2025.acl-long.1383_Agentic Reasoning, 第5页, 2025.acl-long.1383_Agentic Reasoning_chunk_004]</t>
        </is>
      </c>
      <c r="J50" t="n">
        <v>0</v>
      </c>
      <c r="K50" t="b">
        <v>1</v>
      </c>
      <c r="L50" t="n">
        <v>0</v>
      </c>
      <c r="M50" t="n">
        <v>1</v>
      </c>
      <c r="N50" t="n">
        <v>0</v>
      </c>
      <c r="O50" t="b">
        <v>0</v>
      </c>
    </row>
    <row r="51">
      <c r="A51" t="inlineStr">
        <is>
          <t>在CypherBench基准测试中，每个问题模板具体包含多少个训练样本？</t>
        </is>
      </c>
      <c r="B51" t="inlineStr">
        <is>
          <t>不可回答类</t>
        </is>
      </c>
      <c r="C51" t="inlineStr">
        <is>
          <t>无法回答。</t>
        </is>
      </c>
      <c r="D51" t="inlineStr">
        <is>
          <t>根据已有信息，无法回答此问题。</t>
        </is>
      </c>
      <c r="J51" t="n">
        <v>1</v>
      </c>
      <c r="K51" t="b">
        <v>1</v>
      </c>
      <c r="L51" t="n">
        <v>1</v>
      </c>
      <c r="M51" t="n">
        <v>0</v>
      </c>
      <c r="N51" t="n">
        <v>0</v>
      </c>
      <c r="O51" t="b">
        <v>1</v>
      </c>
    </row>
    <row r="53">
      <c r="A53" t="inlineStr">
        <is>
          <t>【总体平均值】</t>
        </is>
      </c>
      <c r="E53">
        <f>AVERAGEIFS(E2:E51,K2:K51,FALSE)</f>
        <v/>
      </c>
      <c r="F53">
        <f>AVERAGEIFS(F2:F51,K2:K51,FALSE)</f>
        <v/>
      </c>
      <c r="G53">
        <f>AVERAGEIFS(G2:G51,K2:K51,FALSE)</f>
        <v/>
      </c>
      <c r="H53">
        <f>AVERAGEIFS(H2:H51,K2:K51,FALSE)</f>
        <v/>
      </c>
      <c r="I53">
        <f>AVERAGEIFS(I2:I51,K2:K51,FALSE)</f>
        <v/>
      </c>
      <c r="J53">
        <f>AVERAGE(J2:J51)</f>
        <v/>
      </c>
      <c r="L53">
        <f>AVERAGE(L2:L51)</f>
        <v/>
      </c>
      <c r="M53">
        <f>AVERAGE(M2:M51)</f>
        <v/>
      </c>
      <c r="N53">
        <f>AVERAGE(N2:N51)</f>
        <v/>
      </c>
    </row>
    <row r="54">
      <c r="A54" t="inlineStr">
        <is>
          <t>【定义类平均值】</t>
        </is>
      </c>
      <c r="B54" t="inlineStr">
        <is>
          <t>定义类</t>
        </is>
      </c>
      <c r="E54">
        <f>AVERAGEIFS(E2:E51,B2:B51,"定义类",K2:K51,FALSE)</f>
        <v/>
      </c>
      <c r="F54">
        <f>AVERAGEIFS(F2:F51,B2:B51,"定义类",K2:K51,FALSE)</f>
        <v/>
      </c>
      <c r="G54">
        <f>AVERAGEIFS(G2:G51,B2:B51,"定义类",K2:K51,FALSE)</f>
        <v/>
      </c>
      <c r="H54">
        <f>AVERAGEIFS(H2:H51,B2:B51,"定义类",K2:K51,FALSE)</f>
        <v/>
      </c>
      <c r="I54">
        <f>AVERAGEIFS(I2:I51,B2:B51,"定义类",K2:K51,FALSE)</f>
        <v/>
      </c>
      <c r="J54">
        <f>AVERAGEIF(B2:B51,"定义类",J2:J51)</f>
        <v/>
      </c>
      <c r="L54">
        <f>AVERAGEIF(B2:B51,"定义类",L2:L51)</f>
        <v/>
      </c>
      <c r="M54">
        <f>AVERAGEIF(B2:B51,"定义类",M2:M51)</f>
        <v/>
      </c>
      <c r="N54">
        <f>AVERAGEIF(B2:B51,"定义类",N2:N51)</f>
        <v/>
      </c>
    </row>
    <row r="55">
      <c r="A55" t="inlineStr">
        <is>
          <t>【方法细节类平均值】</t>
        </is>
      </c>
      <c r="B55" t="inlineStr">
        <is>
          <t>方法细节类</t>
        </is>
      </c>
      <c r="E55">
        <f>AVERAGEIFS(E2:E51,B2:B51,"方法细节类",K2:K51,FALSE)</f>
        <v/>
      </c>
      <c r="F55">
        <f>AVERAGEIFS(F2:F51,B2:B51,"方法细节类",K2:K51,FALSE)</f>
        <v/>
      </c>
      <c r="G55">
        <f>AVERAGEIFS(G2:G51,B2:B51,"方法细节类",K2:K51,FALSE)</f>
        <v/>
      </c>
      <c r="H55">
        <f>AVERAGEIFS(H2:H51,B2:B51,"方法细节类",K2:K51,FALSE)</f>
        <v/>
      </c>
      <c r="I55">
        <f>AVERAGEIFS(I2:I51,B2:B51,"方法细节类",K2:K51,FALSE)</f>
        <v/>
      </c>
      <c r="J55">
        <f>AVERAGEIF(B2:B51,"方法细节类",J2:J51)</f>
        <v/>
      </c>
      <c r="L55">
        <f>AVERAGEIF(B2:B51,"方法细节类",L2:L51)</f>
        <v/>
      </c>
      <c r="M55">
        <f>AVERAGEIF(B2:B51,"方法细节类",M2:M51)</f>
        <v/>
      </c>
      <c r="N55">
        <f>AVERAGEIF(B2:B51,"方法细节类",N2:N51)</f>
        <v/>
      </c>
    </row>
    <row r="56">
      <c r="A56" t="inlineStr">
        <is>
          <t>【实验结果类平均值】</t>
        </is>
      </c>
      <c r="B56" t="inlineStr">
        <is>
          <t>实验结果类</t>
        </is>
      </c>
      <c r="E56">
        <f>AVERAGEIFS(E2:E51,B2:B51,"实验结果类",K2:K51,FALSE)</f>
        <v/>
      </c>
      <c r="F56">
        <f>AVERAGEIFS(F2:F51,B2:B51,"实验结果类",K2:K51,FALSE)</f>
        <v/>
      </c>
      <c r="G56">
        <f>AVERAGEIFS(G2:G51,B2:B51,"实验结果类",K2:K51,FALSE)</f>
        <v/>
      </c>
      <c r="H56">
        <f>AVERAGEIFS(H2:H51,B2:B51,"实验结果类",K2:K51,FALSE)</f>
        <v/>
      </c>
      <c r="I56">
        <f>AVERAGEIFS(I2:I51,B2:B51,"实验结果类",K2:K51,FALSE)</f>
        <v/>
      </c>
      <c r="J56">
        <f>AVERAGEIF(B2:B51,"实验结果类",J2:J51)</f>
        <v/>
      </c>
      <c r="L56">
        <f>AVERAGEIF(B2:B51,"实验结果类",L2:L51)</f>
        <v/>
      </c>
      <c r="M56">
        <f>AVERAGEIF(B2:B51,"实验结果类",M2:M51)</f>
        <v/>
      </c>
      <c r="N56">
        <f>AVERAGEIF(B2:B51,"实验结果类",N2:N51)</f>
        <v/>
      </c>
    </row>
    <row r="57">
      <c r="A57" t="inlineStr">
        <is>
          <t>【跨论文比较类平均值】</t>
        </is>
      </c>
      <c r="B57" t="inlineStr">
        <is>
          <t>跨论文比较类</t>
        </is>
      </c>
      <c r="E57">
        <f>AVERAGEIFS(E2:E51,B2:B51,"跨论文比较类",K2:K51,FALSE)</f>
        <v/>
      </c>
      <c r="F57">
        <f>AVERAGEIFS(F2:F51,B2:B51,"跨论文比较类",K2:K51,FALSE)</f>
        <v/>
      </c>
      <c r="G57">
        <f>AVERAGEIFS(G2:G51,B2:B51,"跨论文比较类",K2:K51,FALSE)</f>
        <v/>
      </c>
      <c r="H57">
        <f>AVERAGEIFS(H2:H51,B2:B51,"跨论文比较类",K2:K51,FALSE)</f>
        <v/>
      </c>
      <c r="I57">
        <f>AVERAGEIFS(I2:I51,B2:B51,"跨论文比较类",K2:K51,FALSE)</f>
        <v/>
      </c>
      <c r="J57">
        <f>AVERAGEIF(B2:B51,"跨论文比较类",J2:J51)</f>
        <v/>
      </c>
      <c r="L57">
        <f>AVERAGEIF(B2:B51,"跨论文比较类",L2:L51)</f>
        <v/>
      </c>
      <c r="M57">
        <f>AVERAGEIF(B2:B51,"跨论文比较类",M2:M51)</f>
        <v/>
      </c>
      <c r="N57">
        <f>AVERAGEIF(B2:B51,"跨论文比较类",N2:N51)</f>
        <v/>
      </c>
    </row>
    <row r="58">
      <c r="A58" t="inlineStr">
        <is>
          <t>【不可回答类平均值】</t>
        </is>
      </c>
      <c r="B58" t="inlineStr">
        <is>
          <t>不可回答类</t>
        </is>
      </c>
      <c r="E58">
        <f>AVERAGEIFS(E2:E51,B2:B51,"不可回答类",K2:K51,FALSE)</f>
        <v/>
      </c>
      <c r="F58">
        <f>AVERAGEIFS(F2:F51,B2:B51,"不可回答类",K2:K51,FALSE)</f>
        <v/>
      </c>
      <c r="G58">
        <f>AVERAGEIFS(G2:G51,B2:B51,"不可回答类",K2:K51,FALSE)</f>
        <v/>
      </c>
      <c r="H58">
        <f>AVERAGEIFS(H2:H51,B2:B51,"不可回答类",K2:K51,FALSE)</f>
        <v/>
      </c>
      <c r="I58">
        <f>AVERAGEIFS(I2:I51,B2:B51,"不可回答类",K2:K51,FALSE)</f>
        <v/>
      </c>
      <c r="J58">
        <f>AVERAGEIF(B2:B51,"不可回答类",J2:J51)</f>
        <v/>
      </c>
      <c r="L58">
        <f>AVERAGEIF(B2:B51,"不可回答类",L2:L51)</f>
        <v/>
      </c>
      <c r="M58">
        <f>AVERAGEIF(B2:B51,"不可回答类",M2:M51)</f>
        <v/>
      </c>
      <c r="N58">
        <f>AVERAGEIF(B2:B51,"不可回答类",N2:N51)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2026-06-02T14:12:16Z</dcterms:created>
  <dcterms:modified xsi:type="dcterms:W3CDTF">2026-06-02T14:12:16Z</dcterms:modified>
</cp:coreProperties>
</file>