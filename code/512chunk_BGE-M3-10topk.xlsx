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347C5837-EA32-4629-AECA-8E85E3D4324B}"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<sst xmlns="http://schemas.openxmlformats.org/spreadsheetml/2006/main" count="226" uniqueCount="163">
  <si>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</si>
  <si>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</si>
  <si>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</si>
  <si>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</si>
  <si>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</si>
  <si>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</si>
  <si>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</si>
  <si>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</si>
  <si>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</si>
  <si>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</si>
  <si>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</si>
  <si>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</si>
  <si>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</si>
  <si>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</si>
  <si>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</si>
  <si>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</si>
  <si>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</si>
  <si>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</si>
  <si>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scaling分为三个主要方法：Supervised Fine-tuning (SFT)、Reinforcement Learning (RL) 和 Test-time Compute (TTC)。
来自: [2025.acl-long.140_A Survey of Post-Training Scaling in Large Language Models, 第2页, 2025.acl-long.140_A Survey of Post-Training Scaling in Large Language Models_chunk_004]</t>
  </si>
  <si>
    <t>在SafeRAG中"silver noise"的定义是什么？</t>
  </si>
  <si>
    <t>首先，我们定义了“银色噪声”，它指的是仅部分包含答案的证据文本。此类噪声能够绕过大多数安全过滤机制，从而削弱 RAG 的多样性。</t>
  </si>
  <si>
    <t>Silver noise是指包含部分但不完整答案的噪声。
来自: [2025.acl-long.230_SafeRAG, 第4页, 2025.acl-long.230_SafeRAG_chunk_009]</t>
  </si>
  <si>
    <t>RAG噪声被分为哪两类？</t>
  </si>
  <si>
    <t>RAG噪声被分为有益噪声和有害噪声。</t>
  </si>
  <si>
    <t>RAG噪声被分为有益噪声（beneficial noise）和有害噪声（harmful noise）两类。
来自: [2025.acl-long.250_Pandora s Box or Aladdin s Lamp, 第2页, 2025.acl-long.250_Pandora s Box or Aladdin s Lamp_chunk_005]</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</si>
  <si>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</si>
  <si>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</si>
  <si>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Ref-Long是一个用于评估长上下文语言模型（LCLMs）长上下文引用能力的基准，它要求模型识别引用特定键的文档索引，强调键与文档之间的上下文关系而非简单检索。
来自: [2025.acl-long.1162_Ref-Long, 第1页, 2025.acl-long.1162_Ref-Long_chunk_000]</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</si>
  <si>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</si>
  <si>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</si>
  <si>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SYNQA是一种生成式数据合成方法，给定选定的上下文句子，由大语言模型生成完全由这些句子支持的问题-答案对。
来自: [2025.acl-long.828_On Synthesizing Data for Context Attribution in Question Answering, 第2页, 2025.acl-long.828_On Synthesizing Data for Context Attribution in Question Answering_chunk_004]</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</si>
  <si>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</si>
  <si>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</si>
  <si>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AgenticLU是一个通过集成有针对性的自我澄清与上下文基础，在代理工作流中增强大型语言模型对长上下文查询理解的框架。
来自: [2025.acl-long.275_Self-Taught Agentic Long Context Understanding, 第1页, 2025.acl-long.275_Self-Taught Agentic Long Context Understanding_chunk_000]</t>
  </si>
  <si>
    <t>什么是Agentic Reasoning框架?</t>
  </si>
  <si>
    <t>Agentic Reasoning是一个通过集成外部工具使用代理来增强大型语言模型推理的框架。</t>
  </si>
  <si>
    <t>Agentic Reasoning是一个通过集成外部基于大语言模型的智能体作为工具来增强推理的框架。
来自: [2025.acl-long.1383_Agentic Reasoning, 第2页, 2025.acl-long.1383_Agentic Reasoning_chunk_003]</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</si>
  <si>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</si>
  <si>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</si>
  <si>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多模态文档，(ii) 增强难度，(iii) 现实 RAG 查询，以及 (iv) 准确标注。
来自: [2025.acl-long.1528_REAL-MM-RAG, 第1页, 2025.acl-long.1528_REAL-MM-RAG_chunk_000]</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</si>
  <si>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</si>
  <si>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</si>
  <si>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它自适应地从大语言模型内部知识中提取关键信息，以来源感知的方式迭代整合内部与外部知识，并根据信息可靠性确定最终答案。其用途是使大语言模型对不完美的检索增强具有鲁棒性，有效解决内部知识与外部检索知识之间的冲突，从而提升RAG系统的可靠性和可信度。
来自: [2025.acl-long.1476_Astute RAG, 第1页, 2025.acl-long.1476_Astute RAG_chunk_000]</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</si>
  <si>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</si>
  <si>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</si>
  <si>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L-CiteEval是一个开箱即用的评估套件，要求长上下文模型生成陈述及其支持证据（引用），以评估其生成质量和忠实度。
来自: [2025.acl-long.263_L-CiteEval, 第1页, 2025.acl-long.263_L-CiteEval_chunk_002]</t>
  </si>
  <si>
    <t xml:space="preserve"> LongBench v2基准测试包含多少个问题？上下文长度范围是多少？</t>
  </si>
  <si>
    <t>LongBench v2包含503个具有挑战性的多项选择题，上下文长度范围从8,000到200万个单词。</t>
  </si>
  <si>
    <t>LongBench v2包含503个多项选择题，上下文长度范围从8k到2M词。
来自: [2025.acl-long.183_LongBench v2, 第1页, 2025.acl-long.183_LongBench v2_chunk_002]</t>
  </si>
  <si>
    <t>RHIO框架的三个主要组成部分是什么？</t>
  </si>
  <si>
    <t>RHIO框架包含三个主要组件：1.不忠实数据增强, 2.忠实度感知调优, 3.自诱导解码</t>
  </si>
  <si>
    <t>RHIO框架的三个主要组成部分是：不忠实数据增强（unfaithful data augmentation）、忠实感知调优（faithfulness-aware tuning）和自我诱导解码（self-induced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</si>
  <si>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</si>
  <si>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</si>
  <si>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</si>
  <si>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论文作者发现，使用标准的短上下文指令数据集（standard, short-context instruction data）能够在长上下文任务上取得最佳性能。
来自: [2025.acl-long.366_How to Train Long-Context Language Models (Effectively), 第8页, 2025.acl-long.366_How to Train Long-Context Language Models (Effectively)_chunk_023]</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</si>
  <si>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</si>
  <si>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</si>
  <si>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在ASTUTE RAG中，knowledge consolidation过程包含三个主要步骤：识别跨段落的一致信息，检测各组一致信息之间的冲突，以及过滤无关信息。
来自: [2025.acl-long.1476_Astute RAG, 第5页, 2025.acl-long.1476_Astute RAG_chunk_011]</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</si>
  <si>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</si>
  <si>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</si>
  <si>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通过将推理过程拆分为离线和在线阶段来降低在线延迟：离线阶段预先对语料库中的文档完成层次化文档结构化任务；在线阶段仅需执行查询分析和自适应精炼，处理数百个输入 token 并生成数十个输出 token，整体在线延迟仅为标准设置的约 25%。此外，简化的 XML 语法显著减少了精炼模型的输出 token 数量，进一步提升了效率。
来自: [2025.acl-long.176_Hierarchical Document Refinement for Long-context Retrieval-augmented Generation, 第6页, 2025.acl-long.176_Hierarchical Document Refinement for Long-context Retrieval-augmented Generation_chunk_013]  
来自: [2025.acl-long.176_Hierarchical Document Refinement for Long-context Retrieval-augmented Generation, 第2页, 2025.acl-long.176_Hierarchical Document Refinement for Long-context Retrieval-augmented Generation_chunk_002]</t>
  </si>
  <si>
    <t>DRAG框架如何保护用户隐私？请描述其隐私保护机制。</t>
  </si>
  <si>
    <t>DRAG通过传输去标识化的查询和结构化知识而不是完整响应来保护用户隐私。这样可以避免传输完整的用户查询和敏感信息。</t>
  </si>
  <si>
    <t>DRAG框架的隐私保护机制通过“本地改写-云端检索-本地生成”的流程实现。具体来说，本地小模型首先对用户查询进行改写，剥离其中的敏感信息，然后将去标识化的查询发送到云端大模型。云端大模型仅基于此查询检索相关证据和知识图谱，并将这些结构化知识传回本地。最终，由本地小模型利用接收到的证据和知识图谱生成最终答案，从而确保用户的私有数据始终保留在本地，不被上传至云端。
来自: [2025.acl-long.358_DRAG, 第5页, 2025.acl-long.358_DRAG_chunk_010]、[2025.acl-long.358_DRAG, 第1页, 2025.acl-long.358_DRAG_chunk_001]</t>
  </si>
  <si>
    <t>简述 Think&amp; Cite 框架中 SG-MCTS 的工作流程及其步骤。</t>
  </si>
  <si>
    <t>SG-MCTS利用LLMs的自反思能力来推理MCTS的中间状态，以指导树扩展过程。在每次迭代中，SG-MCTS 遵循四个步骤，即选择、反思引导的扩展、评估和反向传播。</t>
  </si>
  <si>
    <t>Think&amp;Cite 框架中的 SG-MCTS 将归因文本生成建模为多步推理问题，每次迭代包含四个阶段：选择、反思引导的扩展、评估和反向传播。选择阶段利用 UCT 算法从搜索树中选出最优节点；扩展阶段通过 LLM 的自我反思能力对中间状态进行批评和细化，依次执行查询生成、检索、反思、生成句子并附上引用；评估阶段使用进度奖励模型从生成进度和归因进度两方面计算新节点的期望奖励；最后通过反向传播更新路径上所有节点的统计信息。
来自: [2025.acl-long.490_Think&amp;Cite, 第3页, 2025.acl-long.490_Think&amp;Cite_chunk_006]  
来自: [2025.acl-long.490_Think&amp;Cite, 第4页, 2025.acl-long.490_Think&amp;Cite_chunk_008]</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</si>
  <si>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</si>
  <si>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</si>
  <si>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的段落选择提示引导的关键过程包含以下三个步骤：
1. **列举信息需求**：分解问题，列出回答问题所需的关键信息子目标。
2. **匹配段落与需求**：为每个信息需求识别包含相关信息的候选段落。
3. **选择最优段落子集**：从候选段落中选出一个子集，使其共同提供最全面、多样化的信息覆盖，以有效回答问题。
来自: [2025.acl-long.861_Shifting from Ranking to Set Selection for Retrieval Augmented Generation, 第3页, 2025.acl-long.861_Shifting from Ranking to Set Selection for Retrieval Augmented Generation_chunk_006]</t>
  </si>
  <si>
    <t>Meta-Bench基准测试中，α参数的最优范围是多少？这个参数的作用是什么？</t>
  </si>
  <si>
    <t>α参数的最优范围在0.65到0.8之间。这个参数用于平衡工具描述和参数描述在工具检索中的权重。</t>
  </si>
  <si>
    <t>在Meta-Bench基准测试中，α参数是用于平衡工具描述与参数描述在工具检索中贡献的权重因子。其最优范围在0.65到0.8之间。
来自: [2025.acl-long.1481_Meta-Tool, 第20页, 2025.acl-long.1481_Meta-Tool_chunk_033]</t>
  </si>
  <si>
    <t>CypherBench 是如何从 RDF 图生成领域特定属性图的？</t>
  </si>
  <si>
    <t>CypherBench 通过将 RDF 图转换为多个领域特定的属性图（domain-specific property graphs）来实现这一过程，并使用 Cypher 语言对其进行查询。</t>
  </si>
  <si>
    <t>CypherBench 通过以下步骤从 RDF 图生成领域特定的属性图：首先，手动为选定领域策划属性图模式，并建立从 Wikidata 模式到该模式的映射（识别领域相关的实体类型、关系类型及其属性，并找到对应的 Wikidata 标识符）；然后，通过执行 SPARQL 查询并聚合结果（而非处理整个 RDF 转储）完成转换，转换层同时负责数据类型转换和单位标准化，生成模式强制、严格类型的数据。
来自: [2025.acl-long.438_CypherBench, 第4页, 2025.acl-long.438_CypherBench_chunk_007]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</si>
  <si>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</si>
  <si>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</si>
  <si>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依次为：第一阶段，仅基于医疗笔记训练SLM，使其建立对文本临床信息的基础理解，生成基于笔记的理由；第二阶段，引入知识增强注意力机制，将数值实验室测试与结构化医学知识对齐，蒸馏出基于实验室测试的理由；第三阶段，完全整合文本与数值输入，使SLM生成临床连贯的多模态理由以支持疾病诊断。
来自: [2025.acl-long.540_Knowledge-Augmented Multimodal Clinical Rationale Generation for Disease Diagnosis with Small Language Models, 第4页, 2025.acl-long.540_Knowledge-Augmented Multimodal Clinical Rationale Generation for Disease Diagnosis with Small Language Models_chunk_008]</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</si>
  <si>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</si>
  <si>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</si>
  <si>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通过生成多样化的查询（如5W1H），利用蒙特卡洛方法估计这些查询嵌入的簇中心，并用该簇中心替代原始文档嵌入，从而在语义上弥合文档与查询之间的差距。同时，引入文档指纹策略以保持文档的区分性，避免因过度对齐查询而丧失文档独特性。
来自: [2025.acl-long.217_QAEncoder, 第1页, 2025.acl-long.217_QAEncoder_chunk_003]  
来自: [2025.acl-long.217_QAEncoder, 第4页, 2025.acl-long.217_QAEncoder_chunk_008]  
来自: [2025.acl-long.217_QAEncoder, 第2页, 2025.acl-long.217_QAEncoder_chunk_004]</t>
  </si>
  <si>
    <t>在 HALOGEN 的文本简化任务中，如何验证模型生成的简化文本是否忠实于原文？</t>
  </si>
  <si>
    <t>先用 GPT-3.5-turbo 将简化文本分解为独立的原子事实，再用 Llama-2-70B-chat 判断每个原子事实是否被原文蕴含。</t>
  </si>
  <si>
    <t>在文本简化任务中，HALOGEN 采用与摘要任务相同的验证流程：使用 GPT-3.5 将模型生成的简化文本分解为独立的原子事实，然后使用 Llama-2-70B 判断每个原子事实是否被原文蕴含（entailment）。
来自: [2025.acl-long.71_HALoGEN, 第3页, 2025.acl-long.71_HALoGEN_chunk_006]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</si>
  <si>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</si>
  <si>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</si>
  <si>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</si>
  <si>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scenario下，GPT-4o是表现最好的模型，而Llama-3-70b的表现与GPT-4o-mini相当。但在Full scenario下，Llama-3-70b超越了GPT-4o，取得了最佳性能。
来自: [2025.acl-long.1574_CiteEval, 第7页, 2025.acl-long.1574_CiteEval_chunk_018]</t>
  </si>
  <si>
    <t>"FaithfulRAG"在FaithEval数据集上使用Mistral-7B作为backbone时的准确率是多少？相比最强基线提高了多少？</t>
  </si>
  <si>
    <t>81.7%，比最强基线(KRE的73.2%)提高了8.5%。</t>
  </si>
  <si>
    <t>在FaithEval数据集上，FaithfulRAG使用Mistral-7B作为backbone的准确率为81.7%，相比最强基线（KRE的73.2%）提高了8.5%。
来自: [2025.acl-long.1062_FaithfulRAG, 第7页, 2025.acl-long.1062_FaithfulRAG_chunk_019]</t>
  </si>
  <si>
    <t>RankCoT 相对于 vanilla RAG 模型的表现如何？这说明了什么？</t>
  </si>
  <si>
    <t>RankCoT 相比 vanilla RAG 模型有 2.5% 的提升，表明它在提供更有意义的细化方面有效，有助于 LLM 更好地回答问题。</t>
  </si>
  <si>
    <t>RankCoT 在多个数据集上均优于 vanilla RAG 模型，平均准确率提升约 2.3–2.5 个百分点（例如在 NQ、HotpotQA、TriviaQA 上，RankCoT 平均准确率为 54.97，vanilla RAG 为 52.65）。这说明了 RankCoT 能够有效精炼检索知识，为 LLM 提供更有意义的上下文，从而提升问答准确性；并且该方法在不同规模的 LLM 上均表现出良好的泛化能力。
来自: [2025.acl-long.629_RankCoT, 第6页, 2025.acl-long.629_RankCoT_chunk_018] [2025.acl-long.629_RankCoT, 第6页, 2025.acl-long.629_RankCoT_chunk_019]</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</si>
  <si>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</si>
  <si>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</si>
  <si>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LLM（GPT-4）的生成事实幻觉率范围为 3% 到 86%，具体取决于任务。
来自: [2025.acl-long.71_HALoGEN, 第1页, 2025.acl-long.71_HALoGEN_chunk_001]</t>
  </si>
  <si>
    <t xml:space="preserve"> 在LongBench v2基准测试中，人类专家在15分钟时间限制下的准确率是多少？</t>
  </si>
  <si>
    <t>人类专家在15分钟时间限制下的准确率为53.7%。</t>
  </si>
  <si>
    <t>在LongBench v2基准测试中，人类专家在15分钟时间限制下的准确率为53.7%。
来自: [2025.acl-long.183_LongBench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</si>
  <si>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</si>
  <si>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</si>
  <si>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AGENTSTAR在WebShop、ALFWorld和BabyAI任务上分别比GPT-4-Turbo高出61.00、20.50和9.87个点。
来自: [2025.acl-long.1355_AgentGym, 第7页, 2025.acl-long.1355_AgentGym_chunk_020]</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</si>
  <si>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</si>
  <si>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</si>
  <si>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Agentic Reasoning与DeepSeek-R1结合在Humanity's Last Exam上性能提升14.4个百分点（从9.4%到23.8%），与OpenAI Deep Research的差距从17.2%缩小至2.8%。
来自: [2025.acl-long.1383_Agentic Reasoning, 第1页, 2025.acl-long.1383_Agentic Reasoning_chunk_001]</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</si>
  <si>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</si>
  <si>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</si>
  <si>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1上达到74.36，Level 2上达到69.21，Level 3上达到45.46，平均分为66.13，在所有公开方法中建立了新的最优水平。
来自: [2025.acl-long.1383_Agentic Reasoning, 第5页, 2025.acl-long.1383_Agentic Reasoning_chunk_010]</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</si>
  <si>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</si>
  <si>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</si>
  <si>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在Asclepius基准测试中，人类医生在所有医学专科的诊断准确率上均优于Med-MLLMs。即使是一位平均准确率为57.4%的初级医生，也略高于表现最好的Med-MLLM GPT-4V（54.3%）。不过，GPT-4V的表现已与初级医生相当，表明Med-MLLMs有潜力作为临床诊断的辅助工具。
来自: [2025.acl-long.1178_Asclepius, 第7页, 2025.acl-long.1178_Asclepius_chunk_016]</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</si>
  <si>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</si>
  <si>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</si>
  <si>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在LongDocURL基准测试中，GPT-4o得分64.5，是唯一达到及格标准的模型，表现最佳。开源模型中，Qwen2-VL得分30.6，LLaVA-OneVision得分22.0和25.0，其他开源模型得分均低于20。
来自: [2025.acl-long.57_LongDocURL, 第6页, 2025.acl-long.57_LongDocURL_chunk_013] 和 [2025.acl-long.57_LongDocURL, 第2页, 2025.acl-long.57_LongDocURL_chunk_003]</t>
  </si>
  <si>
    <t>RAGEval 提出的自动评估指标与人工评估的一致性如何？</t>
  </si>
  <si>
    <t>实验结果表明，RAGEval 的机器自动评估与人工评估在所有指标上均表现出高度一致性。两者之间的最终绝对差异仅为 1.67%。</t>
  </si>
  <si>
    <t>RAGEval 使用 LLM 对提出的 Completeness、Hallucination 和 Irrelevance 指标进行评分，结果显示与人工评估具有高度一致性。
来自: [2025.acl-long.418_RAGEval, 第1页, 2025.acl-long.418_RAGEval_chunk_000]</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</si>
  <si>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</si>
  <si>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</si>
  <si>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</si>
  <si>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 通过**自适应内部知识生成（adaptive generation of internal knowledge）**来提取内部知识，即利用 LLM 根据查询自适应地生成内部段落。  
FaithfulRAG 则采用**自事实挖掘（Self-Fact Mining）**模块，通过自知识提取、自上下文生成和自事实提取三个层次将 LLM 的参数化知识外化为细粒度的事实表示。
来自: [2025.acl-long.1476_Astute RAG, 第4页, 2025.acl-long.1476_Astute RAG_chunk_008]  
来自: [2025.acl-long.1062_FaithfulRAG, 第4页, 2025.acl-long.1062_FaithfulRAG_chunk_010]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</si>
  <si>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</si>
  <si>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</si>
  <si>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UniRAG的核心创新在于将查询增强与编码统一到一个解码器模型中，消除任务分离，并通过自适应选择最优增强策略（如查询改写、扩展、抽象）来提升查询理解。  
FaithfulRAG的核心创新在于通过自事实挖掘模块在事实层面外化模型对问题的理解，并利用自思考模块识别和协调知识冲突，从而在生成前实现忠实且准确的查询理解。
来自: [2025.acl-long.693_UniRAG, 第1页, 2025.acl-long.693_UniRAG_chunk_000]  
来自: [2025.acl-long.1062_FaithfulRAG, 第9页, 2025.acl-long.1062_FaithfulRAG_chunk_025]</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</si>
  <si>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</si>
  <si>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</si>
  <si>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MEMERAG和DragonBall都是面向RAG系统的多语言评估基准，但设计目标和评估维度不同。
**相同点**  
- 两者都支持多语言评估：MEMERAG覆盖英语、德语、西班牙语、法语、印地语5种语言，DragonBall包含中文和英文。  
- 都引入了人类标注的质量判断，以保障评估的可靠性。
**不同点**  
- **定位**：MEMERAG是一个**元评估基准**，旨在衡量自动评估器（如LLM-as-a-judge）与人类判断的一致性；DragonBall是一个**场景特定的RAG基准**，直接评估RAG系统在金融、法律、医疗等领域的表现。  
- **数据来源**：MEMERAG基于MIRACL的母语问题，避免翻译偏差；DragonBall通过自动生成方法构建，包含6711个问题。  
- **评估维度**：  
  - MEMERAG关注**Faithfulness（答案是否基于上下文）**和**Relevance（答案是否与问题相关）**。  
  - DragonBall提出**Completeness（完整性）、Hallucination（幻觉）和Irrelevance（不相关性）**三个基于事实关键点的指标。
来自: [2025.acl-long.1101_MEMERAG, 第3页, 2025.acl-long.1101_MEMERAG_chunk_007]  
来自: [2025.acl-long.418_RAGEval, 第2页, 2025.acl-long.418_RAGEval_chunk_002]  
来自: [2025.acl-long.418_RAGEval, 第4页, 2025.acl-long.418_RAGEval_chunk_008]  
来自: [2025.acl-long.1101_MEMERAG, 第1页, 2025.acl-long.1101_MEMERAG_chunk_002]</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</si>
  <si>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</si>
  <si>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</si>
  <si>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SYNQA 通过给定上下文句子，让 LLM 生成完全由这些句子支持的问答对，从而合成归因训练数据；RHIO 则通过选择性遮蔽检索头来生成模拟模型内在错误的不忠实样本。在提升归因能力上，SYNQA 直接提供归因标签用于微调小型归因模型，使模型能够更精确、更全面地识别支持证据；RHIO 则通过让模型区分忠实与不忠实生成，提升模型在生成回答时的上下文忠实度，从而间接增强归因可靠性。
来自: [2025.acl-long.828_On Synthesizing Data for Context Attribution in Question Answering, 第2页, 2025.acl-long.828_On Synthesizing Data for Context Attribution in Question Answering_chunk_003]
来自: [2025.acl-long.826_Improving Contextual Faithfulness of Large Language Models via Retrieval Heads-Induced Optimization, 第1页, 2025.acl-long.826_Improving Contextual Faithfulness of Large Language Models via Retrieval Heads-Induced Optimization_chunk_001]</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</si>
  <si>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</si>
  <si>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</si>
  <si>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是一个专注于评估大语言模型在真实长上下文多任务中深度理解与推理能力的基准测试，涵盖单文档/多文档问答、长上下文学习、长对话历史、代码仓库和长结构化数据理解等场景。AGENTGYM 则是一个支持通用 LLM-based 智能体交互式评估与训练的框架，覆盖网页导航、文本游戏、家务、数字游戏、具身任务、工具使用和编程等 7 类真实世界场景，强调多环境下的决策与自我改进。
来自: [2025.acl-long.183_LongBench v2, 第1页, 2025.acl-long.183_LongBench v2_chunk_002]、[2025.acl-long.183_LongBench v2, 第1页, 2025.acl-long.183_LongBench v2_chunk_000]、[2025.acl-long.1355_AgentGym, 第1页, 2025.acl-long.1355_AgentGym_chunk_001]、[2025.acl-long.1355_AgentGym, 第4页, 2025.acl-long.1355_AgentGym_chunk_008]</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</si>
  <si>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</si>
  <si>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</si>
  <si>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Agentic Reasoning 通过集成外部 LLM 代理工具（Web-Search、Code、Mind-Map）来增强推理能力；AR-MCTS 则通过主动检索（Active Retrieval）与蒙特卡洛树搜索（MCTS）相结合，并逐步对齐过程奖励模型（PRM）进行过程级推理验证。
来自: [2025.acl-long.1383_Agentic Reasoning, 第2页, 2025.acl-long.1383_Agentic Reasoning_chunk_004] 和 [2025.acl-long.180_Progressive Multimodal Reasoning via Active Retrieval, 第1页, 2025.acl-long.180_Progressive Multimodal Reasoning via Active Retrieval_chunk_000]</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</si>
  <si>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</si>
  <si>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</si>
  <si>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采用训练无关的多智能体协同过滤方法，通过多个 LLM 智能体对检索文档进行评分与筛选，并引入自适应阈值机制动态调整相关性标准，以降低噪声、提升可靠性。RAG‑Critic 则采用批评引导的智能体工作流，先通过数据驱动的错误挖掘构建层次化 RAG 错误体系，再训练一个错误批评模型实现细粒度错误反馈，从而驱动自主纠错来增强可靠性。
来自: [2025.acl-long.131_MAIN-RAG, 第1页, 2025.acl-long.131_MAIN-RAG_chunk_004]
来自: [2025.acl-long.179_RAG-Critic, 第9页, 2025.acl-long.179_RAG-Critic_chunk_020]</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</si>
  <si>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</si>
  <si>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</si>
  <si>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QAEncoder侧重于优化QA系统的**检索阶段**，其核心痛点是**文档与查询之间的语义差距**（document-query gap），即文档嵌入与用户查询嵌入在语义空间中分布不一致，导致检索不匹配。
On Synthesizing Data for Context Attribution in Question Answering侧重于优化QA系统的**生成后处理阶段**（或答案验证阶段），其核心痛点是**缺乏大规模人工标注数据来训练上下文归因模型**，即难以高效地为生成的答案提供句子级别的出处依据，以增强可解释性和可信度。
来自: [2025.acl-long.217_QAEncoder, 第1页, 2025.acl-long.217_QAEncoder_chunk_003]
来自: [2025.acl-long.217_QAEncoder, 第2页, 2025.acl-long.217_QAEncoder_chunk_004]
来自: [2025.acl-long.828_On Synthesizing Data for Context Attribution in Question Answering, 第9页, 2025.acl-long.828_On Synthesizing Data for Context Attribution in Question Answering_chunk_024]
来自: [2025.acl-long.828_On Synthesizing Data for Context Attribution in Question Answering, 第9页, 2025.acl-long.828_On Synthesizing Data for Context Attribution in Question Answering_chunk_023]</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</si>
  <si>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</si>
  <si>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</si>
  <si>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</si>
  <si>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</si>
  <si>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</si>
  <si>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</si>
  <si>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</si>
  <si>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根据已有信息，无法回答此问题。提供的论文片段仅提及L-CiteEval使用DeBERTa-base-long-nli模型进行自动评估，但未给出该模型的准确率或训练数据集信息。</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</si>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</sst>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47" workbookViewId="0">
      <selection activeCell="T50" sqref="T50"/>
    </sheetView>
  </sheetViews>
  <sheetFormatPr defaultRowHeight="14" x14ac:dyDescent="0.25"/>
  <cols>
    <col min="1" max="1" width="19.08984375" style="2" customWidth="1"/>
    <col min="2" max="2" width="9.26953125" style="2" customWidth="1"/>
    <col min="3" max="4" width="19.0898437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280" x14ac:dyDescent="0.25">
      <c r="A2" s="2" t="s">
        <v>15</v>
      </c>
      <c r="B2" s="2" t="s">
        <v>16</v>
      </c>
      <c r="C2" s="2" t="s">
        <v>17</v>
      </c>
      <c r="D2" s="2" t="s">
        <v>18</v>
      </c>
      <c r="E2" s="2">
        <v>1</v>
      </c>
      <c r="F2" s="2">
        <v>1</v>
      </c>
      <c r="G2" s="2">
        <v>1</v>
      </c>
      <c r="H2" s="2">
        <v>1</v>
      </c>
      <c r="I2" s="4">
        <v>1</v>
      </c>
      <c r="J2" s="2">
        <v>1</v>
      </c>
      <c r="K2" s="2" t="b">
        <v>0</v>
      </c>
      <c r="L2" s="2">
        <v>3</v>
      </c>
      <c r="M2" s="2">
        <v>0</v>
      </c>
      <c r="N2" s="2">
        <v>0</v>
      </c>
    </row>
    <row r="3" spans="1:15" ht="112" x14ac:dyDescent="0.25">
      <c r="A3" s="2" t="s">
        <v>19</v>
      </c>
      <c r="B3" s="2" t="s">
        <v>16</v>
      </c>
      <c r="C3" s="2" t="s">
        <v>20</v>
      </c>
      <c r="D3" s="2" t="s">
        <v>21</v>
      </c>
      <c r="E3" s="2">
        <v>0</v>
      </c>
      <c r="F3" s="2">
        <v>0</v>
      </c>
      <c r="G3" s="2">
        <v>0</v>
      </c>
      <c r="H3" s="2">
        <v>0</v>
      </c>
      <c r="I3" s="4">
        <v>1</v>
      </c>
      <c r="J3" s="2">
        <v>1</v>
      </c>
      <c r="K3" s="2" t="b">
        <v>0</v>
      </c>
      <c r="L3" s="2">
        <v>1</v>
      </c>
      <c r="M3" s="2">
        <v>0</v>
      </c>
      <c r="N3" s="2">
        <v>0</v>
      </c>
    </row>
    <row r="4" spans="1:15" ht="182" x14ac:dyDescent="0.25">
      <c r="A4" s="2" t="s">
        <v>22</v>
      </c>
      <c r="B4" s="2" t="s">
        <v>16</v>
      </c>
      <c r="C4" s="2" t="s">
        <v>23</v>
      </c>
      <c r="D4" s="2" t="s">
        <v>24</v>
      </c>
      <c r="E4" s="2">
        <v>1</v>
      </c>
      <c r="F4" s="2">
        <v>1</v>
      </c>
      <c r="G4" s="2">
        <v>1</v>
      </c>
      <c r="H4" s="2">
        <v>1</v>
      </c>
      <c r="I4" s="4">
        <v>1</v>
      </c>
      <c r="J4" s="2">
        <v>1</v>
      </c>
      <c r="K4" s="2" t="b">
        <v>0</v>
      </c>
      <c r="L4" s="2">
        <v>1</v>
      </c>
      <c r="M4" s="2">
        <v>0</v>
      </c>
      <c r="N4" s="2">
        <v>0</v>
      </c>
    </row>
    <row r="5" spans="1:15" ht="210" x14ac:dyDescent="0.25">
      <c r="A5" s="2" t="s">
        <v>25</v>
      </c>
      <c r="B5" s="2" t="s">
        <v>16</v>
      </c>
      <c r="C5" s="2" t="s">
        <v>26</v>
      </c>
      <c r="D5" s="2" t="s">
        <v>27</v>
      </c>
      <c r="E5" s="2">
        <v>1</v>
      </c>
      <c r="F5" s="2">
        <v>1</v>
      </c>
      <c r="G5" s="2">
        <v>1</v>
      </c>
      <c r="H5" s="2">
        <v>1</v>
      </c>
      <c r="I5" s="4">
        <v>1</v>
      </c>
      <c r="J5" s="2">
        <v>0.8</v>
      </c>
      <c r="K5" s="2" t="b">
        <v>0</v>
      </c>
      <c r="L5" s="2">
        <v>2</v>
      </c>
      <c r="M5" s="2">
        <v>0</v>
      </c>
      <c r="N5" s="2">
        <v>1</v>
      </c>
    </row>
    <row r="6" spans="1:15" ht="294" x14ac:dyDescent="0.25">
      <c r="A6" s="2" t="s">
        <v>28</v>
      </c>
      <c r="B6" s="2" t="s">
        <v>16</v>
      </c>
      <c r="C6" s="2" t="s">
        <v>29</v>
      </c>
      <c r="D6" s="2" t="s">
        <v>30</v>
      </c>
      <c r="E6" s="2">
        <v>1</v>
      </c>
      <c r="F6" s="2">
        <v>1</v>
      </c>
      <c r="G6" s="2">
        <v>1</v>
      </c>
      <c r="H6" s="2">
        <v>1</v>
      </c>
      <c r="I6" s="4">
        <v>1</v>
      </c>
      <c r="J6" s="2">
        <v>0.75</v>
      </c>
      <c r="K6" s="2" t="b">
        <v>0</v>
      </c>
      <c r="L6" s="2">
        <v>3</v>
      </c>
      <c r="M6" s="2">
        <v>0</v>
      </c>
      <c r="N6" s="2">
        <v>2</v>
      </c>
    </row>
    <row r="7" spans="1:15" ht="252" x14ac:dyDescent="0.25">
      <c r="A7" s="2" t="s">
        <v>31</v>
      </c>
      <c r="B7" s="2" t="s">
        <v>16</v>
      </c>
      <c r="C7" s="2" t="s">
        <v>32</v>
      </c>
      <c r="D7" s="2" t="s">
        <v>33</v>
      </c>
      <c r="E7" s="2">
        <v>1</v>
      </c>
      <c r="F7" s="2">
        <v>1</v>
      </c>
      <c r="G7" s="2">
        <v>1</v>
      </c>
      <c r="H7" s="2">
        <v>1</v>
      </c>
      <c r="I7" s="4">
        <v>1</v>
      </c>
      <c r="J7" s="2">
        <v>0.66700000000000004</v>
      </c>
      <c r="K7" s="2" t="b">
        <v>0</v>
      </c>
      <c r="L7" s="2">
        <v>1</v>
      </c>
      <c r="M7" s="2">
        <v>0</v>
      </c>
      <c r="N7" s="2">
        <v>1</v>
      </c>
    </row>
    <row r="8" spans="1:15" ht="168" x14ac:dyDescent="0.25">
      <c r="A8" s="2" t="s">
        <v>34</v>
      </c>
      <c r="B8" s="2" t="s">
        <v>16</v>
      </c>
      <c r="C8" s="2" t="s">
        <v>35</v>
      </c>
      <c r="D8" s="2" t="s">
        <v>36</v>
      </c>
      <c r="E8" s="2">
        <v>1</v>
      </c>
      <c r="F8" s="2">
        <v>1</v>
      </c>
      <c r="G8" s="2">
        <v>1</v>
      </c>
      <c r="H8" s="2">
        <v>1</v>
      </c>
      <c r="I8" s="4">
        <v>1</v>
      </c>
      <c r="J8" s="2">
        <v>1</v>
      </c>
      <c r="K8" s="2" t="b">
        <v>0</v>
      </c>
      <c r="L8" s="2">
        <v>1</v>
      </c>
      <c r="M8" s="2">
        <v>0</v>
      </c>
      <c r="N8" s="2">
        <v>0</v>
      </c>
    </row>
    <row r="9" spans="1:15" ht="182" x14ac:dyDescent="0.25">
      <c r="A9" s="2" t="s">
        <v>37</v>
      </c>
      <c r="B9" s="2" t="s">
        <v>16</v>
      </c>
      <c r="C9" s="2" t="s">
        <v>38</v>
      </c>
      <c r="D9" s="2" t="s">
        <v>39</v>
      </c>
      <c r="E9" s="2">
        <v>1</v>
      </c>
      <c r="F9" s="2">
        <v>1</v>
      </c>
      <c r="G9" s="2">
        <v>1</v>
      </c>
      <c r="H9" s="2">
        <v>1</v>
      </c>
      <c r="I9" s="4">
        <v>1</v>
      </c>
      <c r="J9" s="2">
        <v>1</v>
      </c>
      <c r="K9" s="2" t="b">
        <v>0</v>
      </c>
      <c r="L9" s="2">
        <v>4</v>
      </c>
      <c r="M9" s="2">
        <v>0</v>
      </c>
      <c r="N9" s="2">
        <v>0</v>
      </c>
    </row>
    <row r="10" spans="1:15" ht="308" x14ac:dyDescent="0.25">
      <c r="A10" s="2" t="s">
        <v>40</v>
      </c>
      <c r="B10" s="2" t="s">
        <v>16</v>
      </c>
      <c r="C10" s="2" t="s">
        <v>41</v>
      </c>
      <c r="D10" s="2" t="s">
        <v>42</v>
      </c>
      <c r="E10" s="2">
        <v>1</v>
      </c>
      <c r="F10" s="2">
        <v>1</v>
      </c>
      <c r="G10" s="2">
        <v>1</v>
      </c>
      <c r="H10" s="2">
        <v>1</v>
      </c>
      <c r="I10" s="4">
        <v>1</v>
      </c>
      <c r="J10" s="2">
        <v>1</v>
      </c>
      <c r="K10" s="2" t="b">
        <v>0</v>
      </c>
      <c r="L10" s="2">
        <v>4</v>
      </c>
      <c r="M10" s="2">
        <v>0</v>
      </c>
      <c r="N10" s="2">
        <v>0</v>
      </c>
    </row>
    <row r="11" spans="1:15" ht="266" x14ac:dyDescent="0.25">
      <c r="A11" s="2" t="s">
        <v>43</v>
      </c>
      <c r="B11" s="2" t="s">
        <v>16</v>
      </c>
      <c r="C11" s="2" t="s">
        <v>44</v>
      </c>
      <c r="D11" s="2" t="s">
        <v>45</v>
      </c>
      <c r="E11" s="2">
        <v>1</v>
      </c>
      <c r="F11" s="2">
        <v>1</v>
      </c>
      <c r="G11" s="2">
        <v>1</v>
      </c>
      <c r="H11" s="2">
        <v>1</v>
      </c>
      <c r="I11" s="4">
        <v>1</v>
      </c>
      <c r="J11" s="2">
        <v>0.66700000000000004</v>
      </c>
      <c r="K11" s="2" t="b">
        <v>0</v>
      </c>
      <c r="L11" s="2">
        <v>2</v>
      </c>
      <c r="M11" s="2">
        <v>0</v>
      </c>
      <c r="N11" s="2">
        <v>2</v>
      </c>
    </row>
    <row r="12" spans="1:15" ht="140"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409.5" x14ac:dyDescent="0.25">
      <c r="A13" s="2" t="s">
        <v>49</v>
      </c>
      <c r="B13" s="2" t="s">
        <v>16</v>
      </c>
      <c r="C13" s="2" t="s">
        <v>50</v>
      </c>
      <c r="D13" s="2" t="s">
        <v>51</v>
      </c>
      <c r="E13" s="2">
        <v>1</v>
      </c>
      <c r="F13" s="2">
        <v>1</v>
      </c>
      <c r="G13" s="2">
        <v>1</v>
      </c>
      <c r="H13" s="2">
        <v>1</v>
      </c>
      <c r="I13" s="4">
        <v>1</v>
      </c>
      <c r="J13" s="2">
        <v>1</v>
      </c>
      <c r="K13" s="2" t="b">
        <v>0</v>
      </c>
      <c r="L13" s="2">
        <v>3</v>
      </c>
      <c r="M13" s="2">
        <v>0</v>
      </c>
      <c r="N13" s="2">
        <v>0</v>
      </c>
    </row>
    <row r="14" spans="1:15" ht="252" x14ac:dyDescent="0.25">
      <c r="A14" s="2" t="s">
        <v>52</v>
      </c>
      <c r="B14" s="2" t="s">
        <v>53</v>
      </c>
      <c r="C14" s="2" t="s">
        <v>54</v>
      </c>
      <c r="D14" s="2" t="s">
        <v>55</v>
      </c>
      <c r="E14" s="2">
        <v>1</v>
      </c>
      <c r="F14" s="2">
        <v>1</v>
      </c>
      <c r="G14" s="2">
        <v>1</v>
      </c>
      <c r="H14" s="2">
        <v>1</v>
      </c>
      <c r="I14" s="4">
        <v>1</v>
      </c>
      <c r="J14" s="2">
        <v>1</v>
      </c>
      <c r="K14" s="2" t="b">
        <v>0</v>
      </c>
      <c r="L14" s="2">
        <v>1</v>
      </c>
      <c r="M14" s="2">
        <v>0</v>
      </c>
      <c r="N14" s="2">
        <v>0</v>
      </c>
    </row>
    <row r="15" spans="1:15" ht="210" x14ac:dyDescent="0.25">
      <c r="A15" s="2" t="s">
        <v>56</v>
      </c>
      <c r="B15" s="2" t="s">
        <v>53</v>
      </c>
      <c r="C15" s="2" t="s">
        <v>57</v>
      </c>
      <c r="D15" s="2" t="s">
        <v>58</v>
      </c>
      <c r="E15" s="2">
        <v>1</v>
      </c>
      <c r="F15" s="2">
        <v>1</v>
      </c>
      <c r="G15" s="2">
        <v>1</v>
      </c>
      <c r="H15" s="2">
        <v>1</v>
      </c>
      <c r="I15" s="4">
        <v>1</v>
      </c>
      <c r="J15" s="2">
        <v>1</v>
      </c>
      <c r="K15" s="2" t="b">
        <v>0</v>
      </c>
      <c r="L15" s="2">
        <v>3</v>
      </c>
      <c r="M15" s="2">
        <v>0</v>
      </c>
      <c r="N15" s="2">
        <v>0</v>
      </c>
    </row>
    <row r="16" spans="1:15" ht="409.5" x14ac:dyDescent="0.25">
      <c r="A16" s="2" t="s">
        <v>59</v>
      </c>
      <c r="B16" s="2" t="s">
        <v>53</v>
      </c>
      <c r="C16" s="2" t="s">
        <v>60</v>
      </c>
      <c r="D16" s="2" t="s">
        <v>61</v>
      </c>
      <c r="E16" s="2">
        <v>1</v>
      </c>
      <c r="F16" s="2">
        <v>1</v>
      </c>
      <c r="G16" s="2">
        <v>1</v>
      </c>
      <c r="H16" s="2">
        <v>1</v>
      </c>
      <c r="I16" s="4">
        <v>1</v>
      </c>
      <c r="J16" s="2">
        <v>1</v>
      </c>
      <c r="K16" s="2" t="b">
        <v>0</v>
      </c>
      <c r="L16" s="2">
        <v>3</v>
      </c>
      <c r="M16" s="2">
        <v>0</v>
      </c>
      <c r="N16" s="2">
        <v>0</v>
      </c>
    </row>
    <row r="17" spans="1:14" ht="406" x14ac:dyDescent="0.25">
      <c r="A17" s="2" t="s">
        <v>62</v>
      </c>
      <c r="B17" s="2" t="s">
        <v>53</v>
      </c>
      <c r="C17" s="2" t="s">
        <v>63</v>
      </c>
      <c r="D17" s="2" t="s">
        <v>64</v>
      </c>
      <c r="E17" s="2">
        <v>1</v>
      </c>
      <c r="F17" s="2">
        <v>1</v>
      </c>
      <c r="G17" s="2">
        <v>1</v>
      </c>
      <c r="H17" s="2">
        <v>1</v>
      </c>
      <c r="I17" s="4">
        <v>1</v>
      </c>
      <c r="J17" s="2">
        <v>0.66700000000000004</v>
      </c>
      <c r="K17" s="2" t="b">
        <v>0</v>
      </c>
      <c r="L17" s="2">
        <v>1</v>
      </c>
      <c r="M17" s="2">
        <v>0</v>
      </c>
      <c r="N17" s="2">
        <v>1</v>
      </c>
    </row>
    <row r="18" spans="1:14" ht="409.5" x14ac:dyDescent="0.25">
      <c r="A18" s="2" t="s">
        <v>65</v>
      </c>
      <c r="B18" s="2" t="s">
        <v>53</v>
      </c>
      <c r="C18" s="2" t="s">
        <v>66</v>
      </c>
      <c r="D18" s="2" t="s">
        <v>67</v>
      </c>
      <c r="E18" s="2">
        <v>1</v>
      </c>
      <c r="F18" s="2">
        <v>1</v>
      </c>
      <c r="G18" s="2">
        <v>1</v>
      </c>
      <c r="H18" s="2">
        <v>1</v>
      </c>
      <c r="I18" s="4">
        <v>1</v>
      </c>
      <c r="J18" s="2">
        <v>1</v>
      </c>
      <c r="K18" s="2" t="b">
        <v>0</v>
      </c>
      <c r="L18" s="2">
        <v>4</v>
      </c>
      <c r="M18" s="2">
        <v>0</v>
      </c>
      <c r="N18" s="2">
        <v>0</v>
      </c>
    </row>
    <row r="19" spans="1:14" ht="409.5" x14ac:dyDescent="0.25">
      <c r="A19" s="2" t="s">
        <v>68</v>
      </c>
      <c r="B19" s="2" t="s">
        <v>53</v>
      </c>
      <c r="C19" s="2" t="s">
        <v>69</v>
      </c>
      <c r="D19" s="2" t="s">
        <v>70</v>
      </c>
      <c r="E19" s="2">
        <v>1</v>
      </c>
      <c r="F19" s="2">
        <v>1</v>
      </c>
      <c r="G19" s="2">
        <v>1</v>
      </c>
      <c r="H19" s="2">
        <v>1</v>
      </c>
      <c r="I19" s="4">
        <v>1</v>
      </c>
      <c r="J19" s="2">
        <v>1</v>
      </c>
      <c r="K19" s="2" t="b">
        <v>0</v>
      </c>
      <c r="L19" s="2">
        <v>3</v>
      </c>
      <c r="M19" s="2">
        <v>0</v>
      </c>
      <c r="N19" s="2">
        <v>0</v>
      </c>
    </row>
    <row r="20" spans="1:14" ht="182" x14ac:dyDescent="0.25">
      <c r="A20" s="2" t="s">
        <v>71</v>
      </c>
      <c r="B20" s="2" t="s">
        <v>53</v>
      </c>
      <c r="C20" s="2" t="s">
        <v>72</v>
      </c>
      <c r="D20" s="2" t="s">
        <v>73</v>
      </c>
      <c r="E20" s="2">
        <v>1</v>
      </c>
      <c r="F20" s="2">
        <v>1</v>
      </c>
      <c r="G20" s="2">
        <v>1</v>
      </c>
      <c r="H20" s="2">
        <v>1</v>
      </c>
      <c r="I20" s="4">
        <v>1</v>
      </c>
      <c r="J20" s="2">
        <v>1</v>
      </c>
      <c r="K20" s="2" t="b">
        <v>0</v>
      </c>
      <c r="L20" s="2">
        <v>2</v>
      </c>
      <c r="M20" s="2">
        <v>0</v>
      </c>
      <c r="N20" s="2">
        <v>0</v>
      </c>
    </row>
    <row r="21" spans="1:14" ht="378" x14ac:dyDescent="0.25">
      <c r="A21" s="2" t="s">
        <v>74</v>
      </c>
      <c r="B21" s="2" t="s">
        <v>53</v>
      </c>
      <c r="C21" s="2" t="s">
        <v>75</v>
      </c>
      <c r="D21" s="2" t="s">
        <v>76</v>
      </c>
      <c r="E21" s="2">
        <v>1</v>
      </c>
      <c r="F21" s="2">
        <v>1</v>
      </c>
      <c r="G21" s="2">
        <v>1</v>
      </c>
      <c r="H21" s="2">
        <v>1</v>
      </c>
      <c r="I21" s="4">
        <v>1</v>
      </c>
      <c r="J21" s="2">
        <v>1</v>
      </c>
      <c r="K21" s="2" t="b">
        <v>0</v>
      </c>
      <c r="L21" s="2">
        <v>1</v>
      </c>
      <c r="M21" s="2">
        <v>0</v>
      </c>
      <c r="N21" s="2">
        <v>0</v>
      </c>
    </row>
    <row r="22" spans="1:14" ht="409.5" x14ac:dyDescent="0.25">
      <c r="A22" s="2" t="s">
        <v>77</v>
      </c>
      <c r="B22" s="2" t="s">
        <v>53</v>
      </c>
      <c r="C22" s="2" t="s">
        <v>78</v>
      </c>
      <c r="D22" s="2" t="s">
        <v>79</v>
      </c>
      <c r="E22" s="2">
        <v>1</v>
      </c>
      <c r="F22" s="2">
        <v>1</v>
      </c>
      <c r="G22" s="2">
        <v>1</v>
      </c>
      <c r="H22" s="2">
        <v>1</v>
      </c>
      <c r="I22" s="4">
        <v>1</v>
      </c>
      <c r="J22" s="2">
        <v>1</v>
      </c>
      <c r="K22" s="2" t="b">
        <v>0</v>
      </c>
      <c r="L22" s="2">
        <v>3</v>
      </c>
      <c r="M22" s="2">
        <v>0</v>
      </c>
      <c r="N22" s="2">
        <v>0</v>
      </c>
    </row>
    <row r="23" spans="1:14" ht="406" x14ac:dyDescent="0.25">
      <c r="A23" s="2" t="s">
        <v>80</v>
      </c>
      <c r="B23" s="2" t="s">
        <v>53</v>
      </c>
      <c r="C23" s="2" t="s">
        <v>81</v>
      </c>
      <c r="D23" s="2" t="s">
        <v>82</v>
      </c>
      <c r="E23" s="2">
        <v>1</v>
      </c>
      <c r="F23" s="2">
        <v>1</v>
      </c>
      <c r="G23" s="2">
        <v>1</v>
      </c>
      <c r="H23" s="2">
        <v>1</v>
      </c>
      <c r="I23" s="4">
        <v>0.5</v>
      </c>
      <c r="J23" s="2">
        <v>1</v>
      </c>
      <c r="K23" s="2" t="b">
        <v>0</v>
      </c>
      <c r="L23" s="2">
        <v>2</v>
      </c>
      <c r="M23" s="2">
        <v>0</v>
      </c>
      <c r="N23" s="2">
        <v>0</v>
      </c>
    </row>
    <row r="24" spans="1:14" ht="238" x14ac:dyDescent="0.25">
      <c r="A24" s="2" t="s">
        <v>83</v>
      </c>
      <c r="B24" s="2" t="s">
        <v>53</v>
      </c>
      <c r="C24" s="2" t="s">
        <v>84</v>
      </c>
      <c r="D24" s="2" t="s">
        <v>85</v>
      </c>
      <c r="E24" s="2">
        <v>1</v>
      </c>
      <c r="F24" s="2">
        <v>1</v>
      </c>
      <c r="G24" s="2">
        <v>1</v>
      </c>
      <c r="H24" s="2">
        <v>1</v>
      </c>
      <c r="I24" s="4">
        <v>1</v>
      </c>
      <c r="J24" s="2">
        <v>0.66700000000000004</v>
      </c>
      <c r="K24" s="2" t="b">
        <v>0</v>
      </c>
      <c r="L24" s="2">
        <v>1</v>
      </c>
      <c r="M24" s="2">
        <v>1</v>
      </c>
      <c r="N24" s="2">
        <v>0</v>
      </c>
    </row>
    <row r="25" spans="1:14" ht="196" x14ac:dyDescent="0.25">
      <c r="A25" s="2" t="s">
        <v>86</v>
      </c>
      <c r="B25" s="2" t="s">
        <v>87</v>
      </c>
      <c r="C25" s="2" t="s">
        <v>88</v>
      </c>
      <c r="D25" s="2" t="s">
        <v>89</v>
      </c>
      <c r="E25" s="2">
        <v>1</v>
      </c>
      <c r="F25" s="2">
        <v>1</v>
      </c>
      <c r="G25" s="2">
        <v>1</v>
      </c>
      <c r="H25" s="2">
        <v>1</v>
      </c>
      <c r="I25" s="4">
        <v>1</v>
      </c>
      <c r="J25" s="2">
        <v>1</v>
      </c>
      <c r="K25" s="2" t="b">
        <v>0</v>
      </c>
      <c r="L25" s="2">
        <v>2</v>
      </c>
      <c r="M25" s="2">
        <v>0</v>
      </c>
      <c r="N25" s="2">
        <v>0</v>
      </c>
    </row>
    <row r="26" spans="1:14" ht="196" x14ac:dyDescent="0.25">
      <c r="A26" s="2" t="s">
        <v>90</v>
      </c>
      <c r="B26" s="2" t="s">
        <v>87</v>
      </c>
      <c r="C26" s="2" t="s">
        <v>91</v>
      </c>
      <c r="D26" s="2" t="s">
        <v>92</v>
      </c>
      <c r="E26" s="2">
        <v>1</v>
      </c>
      <c r="F26" s="2">
        <v>1</v>
      </c>
      <c r="G26" s="2">
        <v>1</v>
      </c>
      <c r="H26" s="2">
        <v>1</v>
      </c>
      <c r="I26" s="4">
        <v>1</v>
      </c>
      <c r="J26" s="2">
        <v>1</v>
      </c>
      <c r="K26" s="2" t="b">
        <v>0</v>
      </c>
      <c r="L26" s="2">
        <v>1</v>
      </c>
      <c r="M26" s="2">
        <v>0</v>
      </c>
      <c r="N26" s="2">
        <v>0</v>
      </c>
    </row>
    <row r="27" spans="1:14" ht="392" x14ac:dyDescent="0.25">
      <c r="A27" s="2" t="s">
        <v>93</v>
      </c>
      <c r="B27" s="2" t="s">
        <v>87</v>
      </c>
      <c r="C27" s="2" t="s">
        <v>94</v>
      </c>
      <c r="D27" s="2" t="s">
        <v>95</v>
      </c>
      <c r="E27" s="2">
        <v>1</v>
      </c>
      <c r="F27" s="2">
        <v>1</v>
      </c>
      <c r="G27" s="2">
        <v>1</v>
      </c>
      <c r="H27" s="2">
        <v>1</v>
      </c>
      <c r="I27" s="4">
        <v>1</v>
      </c>
      <c r="J27" s="2">
        <v>0.66700000000000004</v>
      </c>
      <c r="K27" s="2" t="b">
        <v>0</v>
      </c>
      <c r="L27" s="2">
        <v>1</v>
      </c>
      <c r="M27" s="2">
        <v>0</v>
      </c>
      <c r="N27" s="2">
        <v>1</v>
      </c>
    </row>
    <row r="28" spans="1:14" ht="154" x14ac:dyDescent="0.25">
      <c r="A28" s="2" t="s">
        <v>96</v>
      </c>
      <c r="B28" s="2" t="s">
        <v>87</v>
      </c>
      <c r="C28" s="2" t="s">
        <v>97</v>
      </c>
      <c r="D28" s="2" t="s">
        <v>98</v>
      </c>
      <c r="E28" s="2">
        <v>1</v>
      </c>
      <c r="F28" s="2">
        <v>1</v>
      </c>
      <c r="G28" s="2">
        <v>1</v>
      </c>
      <c r="H28" s="2">
        <v>1</v>
      </c>
      <c r="I28" s="4">
        <v>1</v>
      </c>
      <c r="J28" s="2">
        <v>1</v>
      </c>
      <c r="K28" s="2" t="b">
        <v>0</v>
      </c>
      <c r="L28" s="2">
        <v>1</v>
      </c>
      <c r="M28" s="2">
        <v>0</v>
      </c>
      <c r="N28" s="2">
        <v>0</v>
      </c>
    </row>
    <row r="29" spans="1:14" ht="140" x14ac:dyDescent="0.25">
      <c r="A29" s="2" t="s">
        <v>99</v>
      </c>
      <c r="B29" s="2" t="s">
        <v>87</v>
      </c>
      <c r="C29" s="2" t="s">
        <v>100</v>
      </c>
      <c r="D29" s="2" t="s">
        <v>101</v>
      </c>
      <c r="E29" s="2">
        <v>1</v>
      </c>
      <c r="F29" s="2">
        <v>1</v>
      </c>
      <c r="G29" s="2">
        <v>1</v>
      </c>
      <c r="H29" s="2">
        <v>1</v>
      </c>
      <c r="I29" s="4">
        <v>1</v>
      </c>
      <c r="J29" s="2">
        <v>1</v>
      </c>
      <c r="K29" s="2" t="b">
        <v>0</v>
      </c>
      <c r="L29" s="2">
        <v>1</v>
      </c>
      <c r="M29" s="2">
        <v>0</v>
      </c>
      <c r="N29" s="2">
        <v>0</v>
      </c>
    </row>
    <row r="30" spans="1:14" ht="168" x14ac:dyDescent="0.25">
      <c r="A30" s="2" t="s">
        <v>102</v>
      </c>
      <c r="B30" s="2" t="s">
        <v>87</v>
      </c>
      <c r="C30" s="2" t="s">
        <v>103</v>
      </c>
      <c r="D30" s="2" t="s">
        <v>104</v>
      </c>
      <c r="E30" s="2">
        <v>1</v>
      </c>
      <c r="F30" s="2">
        <v>1</v>
      </c>
      <c r="G30" s="2">
        <v>1</v>
      </c>
      <c r="H30" s="2">
        <v>1</v>
      </c>
      <c r="I30" s="4">
        <v>1</v>
      </c>
      <c r="J30" s="2">
        <v>1</v>
      </c>
      <c r="K30" s="2" t="b">
        <v>0</v>
      </c>
      <c r="L30" s="2">
        <v>3</v>
      </c>
      <c r="M30" s="2">
        <v>0</v>
      </c>
      <c r="N30" s="2">
        <v>0</v>
      </c>
    </row>
    <row r="31" spans="1:14" ht="224" x14ac:dyDescent="0.25">
      <c r="A31" s="2" t="s">
        <v>105</v>
      </c>
      <c r="B31" s="2" t="s">
        <v>87</v>
      </c>
      <c r="C31" s="2" t="s">
        <v>106</v>
      </c>
      <c r="D31" s="2" t="s">
        <v>107</v>
      </c>
      <c r="E31" s="2">
        <v>1</v>
      </c>
      <c r="F31" s="2">
        <v>1</v>
      </c>
      <c r="G31" s="2">
        <v>1</v>
      </c>
      <c r="H31" s="2">
        <v>1</v>
      </c>
      <c r="I31" s="4">
        <v>0</v>
      </c>
      <c r="J31" s="2">
        <v>1</v>
      </c>
      <c r="K31" s="2" t="b">
        <v>0</v>
      </c>
      <c r="L31" s="2">
        <v>3</v>
      </c>
      <c r="M31" s="2">
        <v>0</v>
      </c>
      <c r="N31" s="2">
        <v>0</v>
      </c>
    </row>
    <row r="32" spans="1:14" ht="224" x14ac:dyDescent="0.25">
      <c r="A32" s="2" t="s">
        <v>108</v>
      </c>
      <c r="B32" s="2" t="s">
        <v>87</v>
      </c>
      <c r="C32" s="2" t="s">
        <v>109</v>
      </c>
      <c r="D32" s="2" t="s">
        <v>110</v>
      </c>
      <c r="E32" s="2">
        <v>1</v>
      </c>
      <c r="F32" s="2">
        <v>1</v>
      </c>
      <c r="G32" s="2">
        <v>1</v>
      </c>
      <c r="H32" s="2">
        <v>1</v>
      </c>
      <c r="I32" s="4">
        <v>1</v>
      </c>
      <c r="J32" s="2">
        <v>0.66700000000000004</v>
      </c>
      <c r="K32" s="2" t="b">
        <v>0</v>
      </c>
      <c r="L32" s="2">
        <v>1</v>
      </c>
      <c r="M32" s="2">
        <v>0</v>
      </c>
      <c r="N32" s="2">
        <v>1</v>
      </c>
    </row>
    <row r="33" spans="1:15" ht="294" x14ac:dyDescent="0.25">
      <c r="A33" s="2" t="s">
        <v>111</v>
      </c>
      <c r="B33" s="2" t="s">
        <v>87</v>
      </c>
      <c r="C33" s="2" t="s">
        <v>112</v>
      </c>
      <c r="D33" s="2" t="s">
        <v>113</v>
      </c>
      <c r="E33" s="2">
        <v>1</v>
      </c>
      <c r="F33" s="2">
        <v>1</v>
      </c>
      <c r="G33" s="2">
        <v>1</v>
      </c>
      <c r="H33" s="2">
        <v>1</v>
      </c>
      <c r="I33" s="4">
        <v>1</v>
      </c>
      <c r="J33" s="2">
        <v>1</v>
      </c>
      <c r="K33" s="2" t="b">
        <v>0</v>
      </c>
      <c r="L33" s="2">
        <v>3</v>
      </c>
      <c r="M33" s="2">
        <v>0</v>
      </c>
      <c r="N33" s="2">
        <v>0</v>
      </c>
    </row>
    <row r="34" spans="1:15" ht="280" x14ac:dyDescent="0.25">
      <c r="A34" s="2" t="s">
        <v>114</v>
      </c>
      <c r="B34" s="2" t="s">
        <v>87</v>
      </c>
      <c r="C34" s="2" t="s">
        <v>115</v>
      </c>
      <c r="D34" s="2" t="s">
        <v>116</v>
      </c>
      <c r="E34" s="2">
        <v>1</v>
      </c>
      <c r="F34" s="2">
        <v>1</v>
      </c>
      <c r="G34" s="2">
        <v>1</v>
      </c>
      <c r="H34" s="2">
        <v>1</v>
      </c>
      <c r="I34" s="4">
        <v>1</v>
      </c>
      <c r="J34" s="2">
        <v>1</v>
      </c>
      <c r="K34" s="2" t="b">
        <v>0</v>
      </c>
      <c r="L34" s="2">
        <v>3</v>
      </c>
      <c r="M34" s="2">
        <v>0</v>
      </c>
      <c r="N34" s="2">
        <v>0</v>
      </c>
    </row>
    <row r="35" spans="1:15" ht="182" x14ac:dyDescent="0.25">
      <c r="A35" s="2" t="s">
        <v>117</v>
      </c>
      <c r="B35" s="2" t="s">
        <v>87</v>
      </c>
      <c r="C35" s="2" t="s">
        <v>118</v>
      </c>
      <c r="D35" s="2" t="s">
        <v>119</v>
      </c>
      <c r="E35" s="2">
        <v>1</v>
      </c>
      <c r="F35" s="2">
        <v>1</v>
      </c>
      <c r="G35" s="2">
        <v>1</v>
      </c>
      <c r="H35" s="2">
        <v>1</v>
      </c>
      <c r="I35" s="4">
        <v>1</v>
      </c>
      <c r="J35" s="2">
        <v>0.66700000000000004</v>
      </c>
      <c r="K35" s="2" t="b">
        <v>0</v>
      </c>
      <c r="L35" s="2">
        <v>1</v>
      </c>
      <c r="M35" s="2">
        <v>0</v>
      </c>
      <c r="N35" s="2">
        <v>1</v>
      </c>
    </row>
    <row r="36" spans="1:15" ht="409.5" x14ac:dyDescent="0.25">
      <c r="A36" s="2" t="s">
        <v>120</v>
      </c>
      <c r="B36" s="2" t="s">
        <v>121</v>
      </c>
      <c r="C36" s="2" t="s">
        <v>122</v>
      </c>
      <c r="D36" s="2" t="s">
        <v>123</v>
      </c>
      <c r="E36" s="2">
        <v>0</v>
      </c>
      <c r="F36" s="2">
        <v>1</v>
      </c>
      <c r="G36" s="2">
        <v>1</v>
      </c>
      <c r="H36" s="2">
        <v>0.33333333333333331</v>
      </c>
      <c r="I36" s="4">
        <v>1</v>
      </c>
      <c r="J36" s="2">
        <v>1</v>
      </c>
      <c r="K36" s="2" t="b">
        <v>0</v>
      </c>
      <c r="L36" s="2">
        <v>2</v>
      </c>
      <c r="M36" s="2">
        <v>0</v>
      </c>
      <c r="N36" s="2">
        <v>0</v>
      </c>
    </row>
    <row r="37" spans="1:15" ht="409.5" x14ac:dyDescent="0.25">
      <c r="A37" s="2" t="s">
        <v>124</v>
      </c>
      <c r="B37" s="2" t="s">
        <v>121</v>
      </c>
      <c r="C37" s="2" t="s">
        <v>125</v>
      </c>
      <c r="D37" s="2" t="s">
        <v>126</v>
      </c>
      <c r="E37" s="2">
        <v>1</v>
      </c>
      <c r="F37" s="2">
        <v>1</v>
      </c>
      <c r="G37" s="2">
        <v>1</v>
      </c>
      <c r="H37" s="2">
        <v>1</v>
      </c>
      <c r="I37" s="4">
        <v>1</v>
      </c>
      <c r="J37" s="2">
        <v>1</v>
      </c>
      <c r="K37" s="2" t="b">
        <v>0</v>
      </c>
      <c r="L37" s="2">
        <v>2</v>
      </c>
      <c r="M37" s="2">
        <v>0</v>
      </c>
      <c r="N37" s="2">
        <v>0</v>
      </c>
    </row>
    <row r="38" spans="1:15" ht="409.5" x14ac:dyDescent="0.25">
      <c r="A38" s="2" t="s">
        <v>127</v>
      </c>
      <c r="B38" s="2" t="s">
        <v>121</v>
      </c>
      <c r="C38" s="2" t="s">
        <v>128</v>
      </c>
      <c r="D38" s="2" t="s">
        <v>129</v>
      </c>
      <c r="E38" s="2">
        <v>1</v>
      </c>
      <c r="F38" s="2">
        <v>1</v>
      </c>
      <c r="G38" s="2">
        <v>1</v>
      </c>
      <c r="H38" s="2">
        <v>1</v>
      </c>
      <c r="I38" s="4">
        <v>0.75</v>
      </c>
      <c r="J38" s="2">
        <v>0.85699999999999998</v>
      </c>
      <c r="K38" s="2" t="b">
        <v>0</v>
      </c>
      <c r="L38" s="2">
        <v>3</v>
      </c>
      <c r="M38" s="2">
        <v>0</v>
      </c>
      <c r="N38" s="2">
        <v>1</v>
      </c>
    </row>
    <row r="39" spans="1:15" ht="409.5" x14ac:dyDescent="0.25">
      <c r="A39" s="2" t="s">
        <v>130</v>
      </c>
      <c r="B39" s="2" t="s">
        <v>121</v>
      </c>
      <c r="C39" s="2" t="s">
        <v>131</v>
      </c>
      <c r="D39" s="2" t="s">
        <v>132</v>
      </c>
      <c r="E39" s="2">
        <v>1</v>
      </c>
      <c r="F39" s="2">
        <v>1</v>
      </c>
      <c r="G39" s="2">
        <v>1</v>
      </c>
      <c r="H39" s="2">
        <v>1</v>
      </c>
      <c r="I39" s="4">
        <v>0.5</v>
      </c>
      <c r="J39" s="2">
        <v>1</v>
      </c>
      <c r="K39" s="2" t="b">
        <v>0</v>
      </c>
      <c r="L39" s="2">
        <v>2</v>
      </c>
      <c r="M39" s="2">
        <v>0</v>
      </c>
      <c r="N39" s="2">
        <v>0</v>
      </c>
    </row>
    <row r="40" spans="1:15" ht="409.5" x14ac:dyDescent="0.25">
      <c r="A40" s="2" t="s">
        <v>133</v>
      </c>
      <c r="B40" s="2" t="s">
        <v>121</v>
      </c>
      <c r="C40" s="2" t="s">
        <v>134</v>
      </c>
      <c r="D40" s="2" t="s">
        <v>135</v>
      </c>
      <c r="E40" s="2">
        <v>1</v>
      </c>
      <c r="F40" s="2">
        <v>1</v>
      </c>
      <c r="G40" s="2">
        <v>1</v>
      </c>
      <c r="H40" s="2">
        <v>1</v>
      </c>
      <c r="I40" s="4">
        <v>0.75</v>
      </c>
      <c r="J40" s="2">
        <v>0.66700000000000004</v>
      </c>
      <c r="K40" s="2" t="b">
        <v>0</v>
      </c>
      <c r="L40" s="2">
        <v>2</v>
      </c>
      <c r="M40" s="2">
        <v>0</v>
      </c>
      <c r="N40" s="2">
        <v>2</v>
      </c>
    </row>
    <row r="41" spans="1:15" ht="409.5" x14ac:dyDescent="0.25">
      <c r="A41" s="2" t="s">
        <v>136</v>
      </c>
      <c r="B41" s="2" t="s">
        <v>121</v>
      </c>
      <c r="C41" s="2" t="s">
        <v>137</v>
      </c>
      <c r="D41" s="2" t="s">
        <v>138</v>
      </c>
      <c r="E41" s="2">
        <v>1</v>
      </c>
      <c r="F41" s="2">
        <v>1</v>
      </c>
      <c r="G41" s="2">
        <v>1</v>
      </c>
      <c r="H41" s="2">
        <v>1</v>
      </c>
      <c r="I41" s="4">
        <v>1</v>
      </c>
      <c r="J41" s="2">
        <v>0.8</v>
      </c>
      <c r="K41" s="2" t="b">
        <v>0</v>
      </c>
      <c r="L41" s="2">
        <v>2</v>
      </c>
      <c r="M41" s="2">
        <v>0</v>
      </c>
      <c r="N41" s="2">
        <v>1</v>
      </c>
    </row>
    <row r="42" spans="1:15" ht="409.5" x14ac:dyDescent="0.25">
      <c r="A42" s="2" t="s">
        <v>139</v>
      </c>
      <c r="B42" s="2" t="s">
        <v>121</v>
      </c>
      <c r="C42" s="2" t="s">
        <v>140</v>
      </c>
      <c r="D42" s="2" t="s">
        <v>141</v>
      </c>
      <c r="E42" s="2">
        <v>1</v>
      </c>
      <c r="F42" s="2">
        <v>1</v>
      </c>
      <c r="G42" s="2">
        <v>1</v>
      </c>
      <c r="H42" s="2">
        <v>1</v>
      </c>
      <c r="I42" s="4">
        <v>1</v>
      </c>
      <c r="J42" s="2">
        <v>0.85699999999999998</v>
      </c>
      <c r="K42" s="2" t="b">
        <v>0</v>
      </c>
      <c r="L42" s="2">
        <v>3</v>
      </c>
      <c r="M42" s="2">
        <v>0</v>
      </c>
      <c r="N42" s="2">
        <v>1</v>
      </c>
    </row>
    <row r="43" spans="1:15" ht="409.5" x14ac:dyDescent="0.25">
      <c r="A43" s="2" t="s">
        <v>142</v>
      </c>
      <c r="B43" s="2" t="s">
        <v>121</v>
      </c>
      <c r="C43" s="2" t="s">
        <v>143</v>
      </c>
      <c r="D43" s="2" t="s">
        <v>144</v>
      </c>
      <c r="E43" s="2">
        <v>0</v>
      </c>
      <c r="F43" s="2">
        <v>0</v>
      </c>
      <c r="G43" s="2">
        <v>0</v>
      </c>
      <c r="H43" s="2">
        <v>0</v>
      </c>
      <c r="I43" s="4">
        <v>0.25</v>
      </c>
      <c r="J43" s="2">
        <v>0.66700000000000004</v>
      </c>
      <c r="K43" s="2" t="b">
        <v>0</v>
      </c>
      <c r="L43" s="2">
        <v>2</v>
      </c>
      <c r="M43" s="2">
        <v>1</v>
      </c>
      <c r="N43" s="2">
        <v>1</v>
      </c>
    </row>
    <row r="44" spans="1:15" ht="56" x14ac:dyDescent="0.25">
      <c r="A44" s="2" t="s">
        <v>145</v>
      </c>
      <c r="B44" s="2" t="s">
        <v>146</v>
      </c>
      <c r="C44" s="2" t="s">
        <v>147</v>
      </c>
      <c r="D44" s="2" t="s">
        <v>148</v>
      </c>
      <c r="J44" s="2">
        <v>1</v>
      </c>
      <c r="K44" s="2" t="b">
        <v>1</v>
      </c>
      <c r="L44" s="2">
        <v>1</v>
      </c>
      <c r="M44" s="2">
        <v>0</v>
      </c>
      <c r="N44" s="2">
        <v>0</v>
      </c>
      <c r="O44" s="2" t="b">
        <v>1</v>
      </c>
    </row>
    <row r="45" spans="1:15" ht="70" x14ac:dyDescent="0.25">
      <c r="A45" s="2" t="s">
        <v>149</v>
      </c>
      <c r="B45" s="2" t="s">
        <v>146</v>
      </c>
      <c r="C45" s="2" t="s">
        <v>147</v>
      </c>
      <c r="D45" s="2" t="s">
        <v>148</v>
      </c>
      <c r="J45" s="2">
        <v>1</v>
      </c>
      <c r="K45" s="2" t="b">
        <v>1</v>
      </c>
      <c r="L45" s="2">
        <v>1</v>
      </c>
      <c r="M45" s="2">
        <v>0</v>
      </c>
      <c r="N45" s="2">
        <v>0</v>
      </c>
      <c r="O45" s="2" t="b">
        <v>1</v>
      </c>
    </row>
    <row r="46" spans="1:15" ht="42" x14ac:dyDescent="0.25">
      <c r="A46" s="2" t="s">
        <v>150</v>
      </c>
      <c r="B46" s="2" t="s">
        <v>146</v>
      </c>
      <c r="C46" s="2" t="s">
        <v>147</v>
      </c>
      <c r="D46" s="2" t="s">
        <v>148</v>
      </c>
      <c r="J46" s="2">
        <v>1</v>
      </c>
      <c r="K46" s="2" t="b">
        <v>1</v>
      </c>
      <c r="L46" s="2">
        <v>1</v>
      </c>
      <c r="M46" s="2">
        <v>0</v>
      </c>
      <c r="N46" s="2">
        <v>0</v>
      </c>
      <c r="O46" s="2" t="b">
        <v>1</v>
      </c>
    </row>
    <row r="47" spans="1:15" ht="126" x14ac:dyDescent="0.25">
      <c r="A47" s="2" t="s">
        <v>151</v>
      </c>
      <c r="B47" s="2" t="s">
        <v>146</v>
      </c>
      <c r="C47" s="2" t="s">
        <v>147</v>
      </c>
      <c r="D47" s="2" t="s">
        <v>152</v>
      </c>
      <c r="J47" s="2">
        <v>1</v>
      </c>
      <c r="K47" s="2" t="b">
        <v>1</v>
      </c>
      <c r="L47" s="2">
        <v>1</v>
      </c>
      <c r="M47" s="2">
        <v>0</v>
      </c>
      <c r="N47" s="2">
        <v>0</v>
      </c>
      <c r="O47" s="2" t="b">
        <v>1</v>
      </c>
    </row>
    <row r="48" spans="1:15" ht="42" x14ac:dyDescent="0.25">
      <c r="A48" s="2" t="s">
        <v>153</v>
      </c>
      <c r="B48" s="2" t="s">
        <v>146</v>
      </c>
      <c r="C48" s="2" t="s">
        <v>147</v>
      </c>
      <c r="D48" s="2" t="s">
        <v>148</v>
      </c>
      <c r="J48" s="2">
        <v>1</v>
      </c>
      <c r="K48" s="2" t="b">
        <v>1</v>
      </c>
      <c r="L48" s="2">
        <v>1</v>
      </c>
      <c r="M48" s="2">
        <v>0</v>
      </c>
      <c r="N48" s="2">
        <v>0</v>
      </c>
      <c r="O48" s="2" t="b">
        <v>1</v>
      </c>
    </row>
    <row r="49" spans="1:15" ht="56" x14ac:dyDescent="0.25">
      <c r="A49" s="2" t="s">
        <v>154</v>
      </c>
      <c r="B49" s="2" t="s">
        <v>146</v>
      </c>
      <c r="C49" s="2" t="s">
        <v>147</v>
      </c>
      <c r="D49" s="2" t="s">
        <v>148</v>
      </c>
      <c r="J49" s="2">
        <v>1</v>
      </c>
      <c r="K49" s="2" t="b">
        <v>1</v>
      </c>
      <c r="L49" s="2">
        <v>1</v>
      </c>
      <c r="M49" s="2">
        <v>0</v>
      </c>
      <c r="N49" s="2">
        <v>0</v>
      </c>
      <c r="O49" s="2" t="b">
        <v>1</v>
      </c>
    </row>
    <row r="50" spans="1:15" ht="56" x14ac:dyDescent="0.25">
      <c r="A50" s="2" t="s">
        <v>155</v>
      </c>
      <c r="B50" s="2" t="s">
        <v>146</v>
      </c>
      <c r="C50" s="2" t="s">
        <v>147</v>
      </c>
      <c r="D50" s="2" t="s">
        <v>148</v>
      </c>
      <c r="J50" s="2">
        <v>1</v>
      </c>
      <c r="K50" s="2" t="b">
        <v>1</v>
      </c>
      <c r="L50" s="2">
        <v>1</v>
      </c>
      <c r="M50" s="2">
        <v>0</v>
      </c>
      <c r="N50" s="2">
        <v>0</v>
      </c>
      <c r="O50" s="2" t="b">
        <v>1</v>
      </c>
    </row>
    <row r="51" spans="1:15" ht="56" x14ac:dyDescent="0.25">
      <c r="A51" s="2" t="s">
        <v>156</v>
      </c>
      <c r="B51" s="2" t="s">
        <v>146</v>
      </c>
      <c r="C51" s="2" t="s">
        <v>147</v>
      </c>
      <c r="D51" s="2" t="s">
        <v>148</v>
      </c>
      <c r="J51" s="2">
        <v>1</v>
      </c>
      <c r="K51" s="2" t="b">
        <v>1</v>
      </c>
      <c r="L51" s="2">
        <v>1</v>
      </c>
      <c r="M51" s="2">
        <v>0</v>
      </c>
      <c r="N51" s="2">
        <v>0</v>
      </c>
      <c r="O51" s="2" t="b">
        <v>1</v>
      </c>
    </row>
    <row r="53" spans="1:15" x14ac:dyDescent="0.25">
      <c r="A53" s="2" t="s">
        <v>157</v>
      </c>
      <c r="E53" s="2">
        <f>AVERAGEIFS(E2:E51,K2:K51,FALSE)</f>
        <v>0.9285714285714286</v>
      </c>
      <c r="F53" s="2">
        <f>AVERAGEIFS(F2:F51,K2:K51,FALSE)</f>
        <v>0.95238095238095233</v>
      </c>
      <c r="G53" s="2">
        <f>AVERAGEIFS(G2:G51,K2:K51,FALSE)</f>
        <v>0.95238095238095233</v>
      </c>
      <c r="H53" s="2">
        <f>AVERAGEIFS(H2:H51,K2:K51,FALSE)</f>
        <v>0.93650793650793651</v>
      </c>
      <c r="I53" s="4">
        <f>AVERAGEIFS(I2:I51,K2:K51,FALSE)</f>
        <v>0.92261904761904767</v>
      </c>
      <c r="J53" s="2">
        <f>AVERAGE(J2:J51)</f>
        <v>0.92134000000000016</v>
      </c>
      <c r="L53" s="2">
        <f>AVERAGE(L2:L51)</f>
        <v>1.94</v>
      </c>
      <c r="M53" s="2">
        <f>AVERAGE(M2:M51)</f>
        <v>0.04</v>
      </c>
      <c r="N53" s="2">
        <f>AVERAGE(N2:N51)</f>
        <v>0.32</v>
      </c>
    </row>
    <row r="54" spans="1:15" x14ac:dyDescent="0.25">
      <c r="A54" s="2" t="s">
        <v>158</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1</v>
      </c>
      <c r="J54" s="2">
        <f>AVERAGEIF(B2:B51,"定义类",J2:J51)</f>
        <v>0.90699999999999992</v>
      </c>
      <c r="L54" s="2">
        <f>AVERAGEIF(B2:B51,"定义类",L2:L51)</f>
        <v>2.25</v>
      </c>
      <c r="M54" s="2">
        <f>AVERAGEIF(B2:B51,"定义类",M2:M51)</f>
        <v>0</v>
      </c>
      <c r="N54" s="2">
        <f>AVERAGEIF(B2:B51,"定义类",N2:N51)</f>
        <v>0.5</v>
      </c>
    </row>
    <row r="55" spans="1:15" ht="28" x14ac:dyDescent="0.25">
      <c r="A55" s="2" t="s">
        <v>159</v>
      </c>
      <c r="B55" s="2" t="s">
        <v>53</v>
      </c>
      <c r="E55" s="2">
        <f>AVERAGEIFS(E2:E51,B2:B51,"方法细节类",K2:K51,FALSE)</f>
        <v>1</v>
      </c>
      <c r="F55" s="2">
        <f>AVERAGEIFS(F2:F51,B2:B51,"方法细节类",K2:K51,FALSE)</f>
        <v>1</v>
      </c>
      <c r="G55" s="2">
        <f>AVERAGEIFS(G2:G51,B2:B51,"方法细节类",K2:K51,FALSE)</f>
        <v>1</v>
      </c>
      <c r="H55" s="2">
        <f>AVERAGEIFS(H2:H51,B2:B51,"方法细节类",K2:K51,FALSE)</f>
        <v>1</v>
      </c>
      <c r="I55" s="4">
        <f>AVERAGEIFS(I2:I51,B2:B51,"方法细节类",K2:K51,FALSE)</f>
        <v>0.95454545454545459</v>
      </c>
      <c r="J55" s="2">
        <f>AVERAGEIF(B2:B51,"方法细节类",J2:J51)</f>
        <v>0.93945454545454543</v>
      </c>
      <c r="L55" s="2">
        <f>AVERAGEIF(B2:B51,"方法细节类",L2:L51)</f>
        <v>2.1818181818181817</v>
      </c>
      <c r="M55" s="2">
        <f>AVERAGEIF(B2:B51,"方法细节类",M2:M51)</f>
        <v>9.0909090909090912E-2</v>
      </c>
      <c r="N55" s="2">
        <f>AVERAGEIF(B2:B51,"方法细节类",N2:N51)</f>
        <v>9.0909090909090912E-2</v>
      </c>
    </row>
    <row r="56" spans="1:15" ht="28" x14ac:dyDescent="0.25">
      <c r="A56" s="2" t="s">
        <v>160</v>
      </c>
      <c r="B56" s="2" t="s">
        <v>87</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0.90909090909090906</v>
      </c>
      <c r="J56" s="2">
        <f>AVERAGEIF(B2:B51,"实验结果类",J2:J51)</f>
        <v>0.90918181818181809</v>
      </c>
      <c r="L56" s="2">
        <f>AVERAGEIF(B2:B51,"实验结果类",L2:L51)</f>
        <v>1.8181818181818181</v>
      </c>
      <c r="M56" s="2">
        <f>AVERAGEIF(B2:B51,"实验结果类",M2:M51)</f>
        <v>0</v>
      </c>
      <c r="N56" s="2">
        <f>AVERAGEIF(B2:B51,"实验结果类",N2:N51)</f>
        <v>0.27272727272727271</v>
      </c>
    </row>
    <row r="57" spans="1:15" ht="28" x14ac:dyDescent="0.25">
      <c r="A57" s="2" t="s">
        <v>161</v>
      </c>
      <c r="B57" s="2" t="s">
        <v>121</v>
      </c>
      <c r="E57" s="2">
        <f>AVERAGEIFS(E2:E51,B2:B51,"跨论文比较类",K2:K51,FALSE)</f>
        <v>0.75</v>
      </c>
      <c r="F57" s="2">
        <f>AVERAGEIFS(F2:F51,B2:B51,"跨论文比较类",K2:K51,FALSE)</f>
        <v>0.875</v>
      </c>
      <c r="G57" s="2">
        <f>AVERAGEIFS(G2:G51,B2:B51,"跨论文比较类",K2:K51,FALSE)</f>
        <v>0.875</v>
      </c>
      <c r="H57" s="2">
        <f>AVERAGEIFS(H2:H51,B2:B51,"跨论文比较类",K2:K51,FALSE)</f>
        <v>0.79166666666666663</v>
      </c>
      <c r="I57" s="4">
        <f>AVERAGEIFS(I2:I51,B2:B51,"跨论文比较类",K2:K51,FALSE)</f>
        <v>0.78125</v>
      </c>
      <c r="J57" s="2">
        <f>AVERAGEIF(B2:B51,"跨论文比较类",J2:J51)</f>
        <v>0.85599999999999998</v>
      </c>
      <c r="L57" s="2">
        <f>AVERAGEIF(B2:B51,"跨论文比较类",L2:L51)</f>
        <v>2.25</v>
      </c>
      <c r="M57" s="2">
        <f>AVERAGEIF(B2:B51,"跨论文比较类",M2:M51)</f>
        <v>0.125</v>
      </c>
      <c r="N57" s="2">
        <f>AVERAGEIF(B2:B51,"跨论文比较类",N2:N51)</f>
        <v>0.75</v>
      </c>
    </row>
    <row r="58" spans="1:15" ht="28" x14ac:dyDescent="0.25">
      <c r="A58" s="2" t="s">
        <v>162</v>
      </c>
      <c r="B58" s="2" t="s">
        <v>146</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2026-06-02T11:20:17Z</dcterms:created>
  <dcterms:modified xsi:type="dcterms:W3CDTF">2026-06-02T15:03:45Z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d067f225-2d4d-4c3c-898f-cf3a4f5334d9</vt:lpwstr>
  </property>
</Properties>
</file>