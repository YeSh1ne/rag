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6017DE1B-4645-4912-9365-C1B7A899FD1D}"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J55" i="1"/>
  <c r="J54" i="1"/>
  <c r="J53" i="1"/>
  <c r="E52" i="1"/>
  <c r="F52" i="1"/>
  <c r="G52" i="1"/>
  <c r="H52" i="1"/>
  <c r="E56" i="1"/>
  <c r="F56" i="1"/>
  <c r="G56" i="1"/>
  <c r="H56" i="1"/>
  <c r="E55" i="1"/>
  <c r="F55" i="1"/>
  <c r="G55" i="1"/>
  <c r="H55" i="1"/>
  <c r="E54" i="1"/>
  <c r="F54" i="1"/>
  <c r="G54" i="1"/>
  <c r="H54" i="1"/>
  <c r="E53" i="1"/>
  <c r="F53" i="1"/>
  <c r="G53" i="1"/>
  <c r="H53" i="1"/>
  <c r="I56" i="1"/>
  <c r="I55" i="1"/>
  <c r="I54" i="1"/>
  <c r="I53" i="1"/>
  <c r="I52" i="1"/>
  <c r="J52" i="1"/>
</calcChain>
</file>

<file path=xl/sharedStrings.xml><?xml version="1.0" encoding="utf-8"?>
<sst xmlns="http://schemas.openxmlformats.org/spreadsheetml/2006/main" count="227" uniqueCount="161">
  <si>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</si>
  <si>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</si>
  <si>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</si>
  <si>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</si>
  <si>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</si>
  <si>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</si>
  <si>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</si>
  <si>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</si>
  <si>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</si>
  <si>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</si>
  <si>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</si>
  <si>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</si>
  <si>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</si>
  <si>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</si>
  <si>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</si>
  <si>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scaling分为哪三个主要类型？</t>
  </si>
  <si>
    <t>定义类</t>
  </si>
  <si>
    <t>Supervised Fine-tuning (SFT), Reinforcement Learning (RLxF), and Test-time Compute (TTC).</t>
  </si>
  <si>
    <t>根据论文，作者将post-training scaling分为三个主要类型：Supervised Fine-tuning (SFT)、Reinforcement Learning from Feedback (RLxF) 和 Test-time Compute (TTC)。
来自: [A Survey of Post-Training Scaling in Large Language Models, 第1页, 2025.acl-long.140_A Survey of Post-Training Scaling in Large Language Models_chunk_000]</t>
  </si>
  <si>
    <t>在"safeRAG"论文中，作者定义的"silver noise"指什么？</t>
  </si>
  <si>
    <t xml:space="preserve">Silver Noise（银色噪声 / 部分答案噪声）：
指部分包含答案但不完整的上下文证据。与完全无关的噪声不同，这种噪声因为包含了部分正确答案，能够成功绕过大多数安全过滤器（Safety filters），进而稀释有用知识，破坏 RAG 系统生成回答的全面性和多样性。
</t>
  </si>
  <si>
    <t>在SafeRAG论文中，作者定义的"silver noise"是指部分包含答案的证据。这种噪声可以绕过大多数安全过滤器，从而破坏RAG的多样性。
来自: [2025.acl-long.230_SafeRAG, 第2页, 2025.acl-long.230_SafeRAG_chunk_004]</t>
  </si>
  <si>
    <t>RAG噪声被分为哪两类？</t>
  </si>
  <si>
    <t>RAG噪声被分为有益噪声（beneficial noise）和有害噪声（harmful noise）。</t>
  </si>
  <si>
    <t>RAG噪声被分为有益噪声（beneficial noise）和有害噪声（harmful noise）两类。
来自: [2025.acl-long.250_Pandora s Box or Aladdin s Lamp, 第2页, 2025.acl-long.250_Pandora s Box or Aladdin s Lamp_chunk_003]
来自: [2025.acl-long.250_Pandora s Box or Aladdin s Lamp, 第2页, 2025.acl-long.250_Pandora s Box or Aladdin s Lamp_chunk_005]</t>
  </si>
  <si>
    <t>什么是Ref-Long基准？它评估的是长上下文语言模型的什么能力？</t>
  </si>
  <si>
    <t>Ref-Long（Referencing Evaluation for Long-context Language Models）是一个专门设计用于评估长上下文语言模型（LCLMs）长上下文引用能力的基准。它要求LCLMs不仅要在给定文档中识别特定关键词，还要找出引用该关键词的文档索引，而不是其他相关但不匹配的文档。</t>
  </si>
  <si>
    <t>Ref-Long是一个专门设计用于评估长上下文语言模型（LCLMs）的长上下文引用能力的新基准。它要求模型不仅从文档集合中检索出特定的键（key），还要识别出所有引用该键的文档索引，强调模型对键与周围上下文之间关系的理解，而非简单的检索匹配。
来自: [2025.acl-long.1162_Ref-Long, 第1页, 2025.acl-long.1162_Ref-Long_chunk_000]
来自: [2025.acl-long.1162_Ref-Long, 第1页, 2025.acl-long.1162_Ref-Long_chunk_001]</t>
  </si>
  <si>
    <t xml:space="preserve"> 什么是SYNQA方法？它的核心目标是什么？</t>
  </si>
  <si>
    <t xml:space="preserve"> SYNQA是一种生成合成训练数据的方法，用于训练上下文归因模型。它的核心目标是通过生成多样化的训练样本（包括实体中心和对话中心的样本），帮助模型发展强大的归因能力，使其能够跨不同上下文和领域进行泛化。</t>
  </si>
  <si>
    <t>SYNQA是一种生成式合成数据方法，通过让大语言模型（LLM）基于选定的上下文句子生成完全由这些句子支持的问答对，并挖掘干扰项，从而构建训练数据。其核心目标是无需昂贵的人工标注，高效生成具有清晰归因路径的合成数据，用于训练上下文归因模型，提升模型在归因任务上的泛化能力和准确性。
来自: [2025.acl-long.828_On Synthesizing Data for Context Attribution in Question Answering, 第2页, 2025.acl-long.828_On Synthesizing Data for Context Attribution in Question Answering_chunk_004]
来自: [2025.acl-long.828_On Synthesizing Data for Context Attribution in Question Answering, 第3页, 2025.acl-long.828_On Synthesizing Data for Context Attribution in Question Answering_chunk_005]</t>
  </si>
  <si>
    <t>什么是Agentic Long-Context Understanding (AgenticLU)框架？</t>
  </si>
  <si>
    <t xml:space="preserve"> AgenticLU是一个旨在增强大语言模型处理和推理长上下文输入能力的框架。它通过结合代理工作流（Chain-of-Clarifications），通过自我澄清和上下文锚定动态优化模型推理，显著提高LLM的长上下文理解能力。</t>
  </si>
  <si>
    <t>Agentic Long-Context Understanding (AgenticLU) 是一个旨在增强大语言模型对长上下文问题理解能力的框架。其核心是Chain-of-Clarifications (CoC)流程：模型通过自生成澄清问题、从长上下文中检索相关信息并基于收集的证据回答自己的问题，从而迭代地优化推理过程。该框架通过集成自我澄清与上下文基础，在代理工作流中实现动态推理，并利用树搜索收集路径后通过两阶段微调（SFT和DPO）将推理成本从推理时摊销到训练中。
来自: [2025.acl-long.275_Self-Taught Agentic Long Context Understanding, 第1页, 2025.acl-long.275_Self-Taught Agentic Long Context Understanding_chunk_000]
来自: [2025.acl-long.275_Self-Taught Agentic Long Context Understanding, 第1页, 2025.acl-long.275_Self-Taught Agentic Long Context Understanding_chunk_001]</t>
  </si>
  <si>
    <t>什么是Agentic Reasoning框架?</t>
  </si>
  <si>
    <t>Agentic Reasoning是一个通过集成外部工具使用代理来增强大型语言模型推理的框架。</t>
  </si>
  <si>
    <t>Agentic Reasoning是一个通过集成外部工具代理来增强大语言模型推理的框架。它动态利用网络搜索、代码执行和结构化记忆（Mind-Map知识图谱）来解决需要深度研究的复杂问题，在DeepSeek-R1上部署后取得了与OpenAI Deep Research相当的性能。
来自: [2025.acl-long.1383_Agentic Reasoning, 第1页, 2025.acl-long.1383_Agentic Reasoning_chunk_000]</t>
  </si>
  <si>
    <t xml:space="preserve"> REAL-MM-RAG基准测试的四个关键属性是什么？</t>
  </si>
  <si>
    <t xml:space="preserve"> REAL-MM-RAG基准测试的四个关键属性是：(i) 多模态文档，(ii) 增强的难度，(iii) 真实的RAG查询，(iv) 准确的标注。此外，该基准还提出了基于查询改写的多难度级别方案，以评估模型超越关键词匹配的语义理解能力。</t>
  </si>
  <si>
    <t>REAL-MM-RAG基准测试的四个关键属性是：(i) 多模态文档（Multi-modal documents），(ii) 增强难度（Enhanced difficulty），(iii) 真实RAG查询（Realistic-RAG queries），(iv) 准确标注（Accurate labeling）。
来自: [2025.acl-long.1528_REAL-MM-RAG, 第1页, 2025.acl-long.1528_REAL-MM-RAG_chunk_001]</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</si>
  <si>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</si>
  <si>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</si>
  <si>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型检索增强生成（RAG）方法，旨在应对不完美检索增强带来的问题（如引入无关或误导信息），同时在检索可靠时保持RAG的接地效果。它通过自适应地激发LLM的内部知识，区分一致与冲突信息，评估可靠性，并整合可信信息，从而提升鲁棒性和可信度。
它的主要用途包括：显著提升RAG系统在不同检索质量下的性能，尤其是在所有检索段落都无帮助的最坏场景下，仍能达到甚至超越无RAG的LLM性能；有效解决内部知识与外部检索之间的知识冲突，提高系统的可靠性和可信度。
来自: [2025.acl-long.1476_Astute RAG, 第2页, 2025.acl-long.1476_Astute RAG_chunk_004]
来自: [2025.acl-long.1476_Astute RAG, 第1页, 2025.acl-long.1476_Astute RAG_chunk_000]</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</si>
  <si>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</si>
  <si>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</si>
  <si>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要求长上下文模型（LCMs）同时生成陈述及其支持证据（引用），包含一个涵盖5大任务类别、11个长上下文任务、上下文长度从8K到48K的综合基准，以及相应的自动评估指标和验证流程。
来自: [2025.acl-long.263_L-CiteEval, 第1页, 2025.acl-long.263_L-CiteEval_chunk_002]</t>
  </si>
  <si>
    <t xml:space="preserve"> LongBench v2基准测试包含多少个问题？上下文长度范围是多少？</t>
  </si>
  <si>
    <t>LongBench v2包含503个具有挑战性的多项选择题，上下文长度范围从8,000到200万个单词。</t>
  </si>
  <si>
    <t>LongBench v2基准测试包含503个多项选择题，上下文长度范围从8k到2M词。
来自: [2025.acl-long.183_LongBench v2, 第1页, 2025.acl-long.183_LongBench v2_chunk_002]  
来自: [2025.acl-long.183_LongBench v2, 第1页, 2025.acl-long.183_LongBench v2_chunk_000]</t>
  </si>
  <si>
    <t>RHIO框架的三个主要组成部分是什么？</t>
  </si>
  <si>
    <t>RHIO框架包含三个主要组件：
1.不忠实数据增强（Unfaithful Data Augmentation）
2.忠实度感知调优（Faithfulness-Aware Tuning）
3.自诱导解码（Self-Induced Decoding）</t>
  </si>
  <si>
    <t>RHIO框架的三个主要组成部分是：不忠实数据增强（Unfaithful Data Augmentation）、忠实感知微调（Faithfulness-Aware Tuning）和自诱导解码（Self-Induced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</si>
  <si>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在论文《How to Train Long-Context Language Models (Effectively)》中，作者在进行监督微调（SFT）阶段时，对于长上下文模型的指令微调数据选择得出了什么反直觉的结论？</t>
  </si>
  <si>
    <t>方法细节类</t>
  </si>
  <si>
    <t>作者发现，仅使用标准的、短上下文的指令数据集（如 UltraChat）进行微调，就能在长上下文任务上取得最佳效果。反直觉的是，引入合成的长上下文指令数据（synthetic long instruction data）并没有提升性能，甚至在某些比例下导致了性能下降。</t>
  </si>
  <si>
    <t>在监督微调（SFT）阶段，作者发现仅使用短上下文指令数据集就能在长上下文任务上取得优异性能，这与直觉上认为需要长上下文指令数据相反。
来自: [How to Train Long-Context Language Models (Effectively), 第1页, 2025.acl-long.366_How to Train Long-Context Language Models (Effectively)_chunk_000]
来自: [How to Train Long-Context Language Models (Effectively), 第8页, 2025.acl-long.366_How to Train Long-Context Language Models (Effectively)_chunk_023]</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</si>
  <si>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</si>
  <si>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</si>
  <si>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在ASTUTE RAG中，knowledge consolidation过程包含三个主要步骤：识别一致信息、检测冲突信息、过滤无关信息。
来自: [2025.acl-long.1476_Astute RAG, 第5页, 2025.acl-long.1476_Astute RAG_chunk_011]</t>
  </si>
  <si>
    <t xml:space="preserve"> "LongRefiner"使用什么特殊标签来省略冗余内容？</t>
  </si>
  <si>
    <t>&lt;skip&gt;标签，用于表示省略的内容，只保留每个段落的前k个和后k个token。</t>
  </si>
  <si>
    <t>根据已有信息，无法回答此问题。</t>
  </si>
  <si>
    <t>DRAG框架如何保护用户隐私？请描述其隐私保护机制。</t>
  </si>
  <si>
    <t>DRAG通过传输去标识化的查询和结构化知识而不是完整响应来保护用户隐私。这样可以避免传输完整的用户查询和敏感信息。</t>
  </si>
  <si>
    <t>DRAG框架通过让本地小型语言模型（SLM）在将查询发送到云端大型模型之前，先对查询进行重新表述（rephrase），从而剥离敏感信息，保护用户隐私。云端模型仅接收脱敏后的查询，并返回相关的证据和知识图谱，本地模型再基于这些信息生成最终答案。这样，用户的私有数据不会直接暴露给云端，同时仍能利用大型模型的知识能力。
来自: [2025.acl-long.358_DRAG, 第5页, 2025.acl-long.358_DRAG_chunk_010]
来自: [2025.acl-long.358_DRAG, 第1页, 2025.acl-long.358_DRAG_chunk_001]</t>
  </si>
  <si>
    <t xml:space="preserve"> Think&amp; Cite框架中的Self-Guided Monte Carlo Tree Search (SG-MCTS)如何工作？有几个步骤?</t>
  </si>
  <si>
    <t>SG-MCTS利用LLMs的自反思能力来推理MCTS的中间状态，以指导树扩展过程。在每次迭代中，SG-MCTS 遵循四个步骤，即选择、反思引导的扩展、评估和反向传播。</t>
  </si>
  <si>
    <t>SG-MCTS通过四个步骤工作：选择（selection）、反思引导的扩展（reflection-guided expansion）、评估（evaluation）和反向传播（backpropagation）。它利用LLM的自我反思能力实时指导中间状态的树扩展，主动避免错误生成路径。
来自: [2025.acl-long.490_Think&amp;Cite, 第3页, 2025.acl-long.490_Think&amp;Cite_chunk_006]</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</si>
  <si>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</si>
  <si>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</si>
  <si>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的段落选择提示引导的关键过程包含以下三个具体步骤：
1. **列举信息需求**：列出回答查询所需的关键信息需求。
2. **匹配相关段落**：为每个信息需求找出包含相关信息的段落。
3. **选择最优子集**：选择一组能最全面、多样地覆盖信息以有效回答查询的段落子集。
来自: [2025.acl-long.861_Shifting from Ranking to Set Selection for Retrieval Augmented Generation, 第3页, 2025.acl-long.861_Shifting from Ranking to Set Selection for Retrieval Augmented Generation_chunk_006]  
来自: [2025.acl-long.861_Shifting from Ranking to Set Selection for Retrieval Augmented Generation, 第4页, 2025.acl-long.861_Shifting from Ranking to Set Selection for Retrieval Augmented Generation_chunk_008]</t>
  </si>
  <si>
    <t>Meta-Bench基准测试中，α参数的最优范围是多少？这个参数的作用是什么？</t>
  </si>
  <si>
    <t>α参数的最优范围在0.65到0.8之间。这个参数用于平衡工具描述和参数描述在工具检索中的权重，其中工具描述起相对更重要的作用。</t>
  </si>
  <si>
    <t>在Meta-Bench基准测试中，α参数的最优范围是0.65到0.8。α的作用是平衡工具描述（tool descriptions）和参数描述（parameter descriptions）在工具检索中的权重，实验表明工具描述相对更重要，但适当结合参数描述能提升整体检索效果。
来自: [2025.acl-long.1481_Meta-Tool, 第20页, 2025.acl-long.1481_Meta-Tool_chunk_033]</t>
  </si>
  <si>
    <t xml:space="preserve"> AR-MCTS算法中的"Knowledge Concept Filter"是如何工作的？</t>
  </si>
  <si>
    <t xml:space="preserve"> Knowledge Concept Filter通过使用InsTag（一个开放世界的标签器）对知识库进行离线概念标注，然后进行一致性筛选。对于文本数据直接使用InsTag标注，对于多模态数据先用MLLM生成图像描述，再用InsTag进行标注，最后进行一致性筛选。</t>
  </si>
  <si>
    <t>AR-MCTS中的"Knowledge Concept Filter"通过知识概念标签和双重阈值对检索结果进行细粒度过滤。具体来说，给定多模态查询 \(Q^m\) 及其知识概念标签 \(L_{\text{kc}}\)，首先从混合语料库 \(D_{\text{H}}\) 中检索出 top-K 样本，然后计算每个样本与查询的相似度以及与知识概念标签的相似度。只有同时满足原始检索相似度阈值 \(T_r\) 和知识概念一致性阈值 \(T_{\text{kc}}\) 的样本才被保留，作为最终的关键见解 \(D_{\text{ins}}\)。这一机制有效减少了检索知识中的噪声，确保了检索知识与问题在概念层面的一致性。
来自: [2025.acl-long.180_Progressive Multimodal Reasoning via Active Retrieval, 第4页, 2025.acl-long.180_Progressive Multimodal Reasoning via Active Retrieval_chunk_010]</t>
  </si>
  <si>
    <t>CypherBench 是如何从 RDF 图生成领域特定属性图的？</t>
  </si>
  <si>
    <t>CypherBench 通过将 RDF 图转换为多个领域特定的属性图（domain-specific property graphs）来实现这一过程，并使用 Cypher 语言对其进行查询。</t>
  </si>
  <si>
    <t>CypherBench 通过将 RDF 图（如 Wikidata）转换为多个领域特定的属性图来生成。具体步骤包括：首先手动策划每个领域的属性图模式，并建立从 Wikidata 模式到该模式的映射（包括实体类型、关系类型及其属性的 Wikidata 标识符）。然后，通过执行 SPARQL 查询并聚合结果来实现转换，而不是处理整个 RDF 转储。转换层还管理数据类型转换和单位标准化，生成符合模式、严格类型化的数据。这些属性图作为原始 RDF 图之上的物化视图，可被 LLM 高效查询。
来自: [2025.acl-long.438_CypherBench, 第4页, 2025.acl-long.438_CypherBench_chunk_007]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</si>
  <si>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</si>
  <si>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</si>
  <si>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包括：第一阶段从医疗笔记中蒸馏理由，使SLM建立对文本临床信息的基础理解；第二阶段引入知识增强注意力，将数值实验室测试与结构化医学知识对齐，蒸馏基于实验室测试的理由；第三阶段完全整合文本和数值输入，使SLM生成临床连贯的多模态理由以支持疾病诊断。
来自: [2025.acl-long.540_Knowledge-Augmented Multimodal Clinical Rationale Generation for Disease Diagnosis with Small Language Models, 第4页, 2025.acl-long.540_Knowledge-Augmented Multimodal Clinical Rationale Generation for Disease Diagnosis with Small Language Models_chunk_008]</t>
  </si>
  <si>
    <t xml:space="preserve"> DocQuery方法如何解决文档-查询差距问题？</t>
  </si>
  <si>
    <t>QAEncoder采用了一种无需训练（training-free） 的方法来弥合文档与查询之间的差距。其核心机制包含两点：
潜在查询期望估计： 在嵌入空间中估计潜在查询的期望值，将其作为文档嵌入的鲁棒替代表示（surrogate），从而使文档表示在语义上更贴近查询空间。
文档指纹附加： 为这些嵌入表示附加文档指纹（document fingerprints），以有效区分不同文档的嵌入，避免仅依赖查询期望导致的文档辨识度丢失问题。</t>
  </si>
  <si>
    <t>Doc2Query方法通过为文档生成预测查询，并将这些查询中的关键词添加到文档中，从而扩展文档内容，解决词汇不匹配问题，缩小文档与用户查询之间的差距。该方法主要针对稀疏检索器。
来自: [2025.acl-long.217_QAEncoder, 第3页, 2025.acl-long.217_QAEncoder_chunk_006]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</si>
  <si>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</si>
  <si>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</si>
  <si>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</si>
  <si>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scenario中，GPT-4o是表现最好的模型，而Llama-3-70b与GPT-4o-mini表现相当；在Full scenario中，Llama-3-70b超越了GPT-4o，取得了最佳性能。
来自: [2025.acl-long.1574_CiteEval, 第7页, 2025.acl-long.1574_CiteEval_chunk_018]</t>
  </si>
  <si>
    <t>"FaithfulRAG"在FaithEval数据集上使用Mistral-7B作为backbone时的准确率是多少？相比最强基线提高了多少？</t>
  </si>
  <si>
    <t>81.7%，比最强基线(KRE的73.2%)提高了8.5%。</t>
  </si>
  <si>
    <t>FaithfulRAG在FaithEval数据集上使用Mistral-7B作为backbone时的准确率为81.7%，相比最强基线（KRE的73.2%）提高了8.5%。
来自: [2025.acl-long.1062_FaithfulRAG, 第7页, 2025.acl-long.1062_FaithfulRAG_chunk_019]</t>
  </si>
  <si>
    <t>根据实验结果，RankCoT 模型相较于原始 RAG 模型有哪些具体优势？</t>
  </si>
  <si>
    <t>RankCoT 模型相较于原始 RAG 模型的具体优势体现在以下两方面：
量化性能提升：实验结果显示，RankCoT 的性能比原始 RAG 模型提高了 2.5%。
优化机制优势：该模型能够提供更有效的精炼信息（more meaningful refinements），从而帮助大语言模型更好地回答问题。</t>
  </si>
  <si>
    <t>根据实验结果，RankCoT 相较于原始 RAG 模型具有以下具体优势：
1. **性能提升**：RankCoT 在整体性能上比原始 RAG 模型提升了 2.5%，表明其知识精炼结果能更有效地帮助大语言模型回答问题。
2. **缩短输入长度并减少生成时间**：RankCoT 生成的精炼结果更短，使得问答模型的生成时间大幅降低（例如在 TriviaQA 上，生成时间从原始 RAG 的 58 秒降至 8 秒），同时保持或提升回答准确性。
3. **提高回答一致性**：在内部知识场景下，RankCoT 使 RAG 模型的回答一致性准确率达到约 91.3%，优于其他精炼方法，且准确率分布更集中（0 或 1），表明其能更稳定地支持模型产生正确答案。
来自: [2025.acl-long.629_RankCoT, 第6页, 2025.acl-long.629_RankCoT_chunk_018]
来自: [2025.acl-long.629_RankCoT, 第12页, 2025.acl-long.629_RankCoT_chunk_027]</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</si>
  <si>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</si>
  <si>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</si>
  <si>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LLM（如 GPT-4）生成事实的幻觉率范围是 3% 到 86%，具体取决于任务或领域。
来自: [2025.acl-long.71_HALoGEN, 第1页, 2025.acl-long.71_HALoGEN_chunk_001]
来自: [2025.acl-long.71_HALoGEN, 第5页, 2025.acl-long.71_HALoGEN_chunk_012]</t>
  </si>
  <si>
    <t xml:space="preserve"> 在LongBench v2基准测试中，人类专家在15分钟时间限制下的准确率是多少？</t>
  </si>
  <si>
    <t>人类专家在15分钟时间限制下的准确率为53.7%。</t>
  </si>
  <si>
    <t>人类专家在15分钟时间限制下的准确率为53.7%。
来自: [LongBench v2, 第2页, 2025.acl-long.183_LongBench v2_chunk_003]</t>
  </si>
  <si>
    <t>AGENTSTAR方法在WebShop、ALFWorld和BabyAI任务上的性能如何？与GPT-4-Turbo相比有何优势？</t>
  </si>
  <si>
    <t>AGENTSTAR方法在三个关键任务上表现出色：
WebShop: 76.50%（比GPT-4-Turbo高61.00个百分点）
ALFWorld: 88.00%（比GPT-4-Turbo高20.50个百分点）
BabyAI: 82.70%（比GPT-4-Turbo高9.87个百分点）</t>
  </si>
  <si>
    <t>AGENTSTAR在WebShop上比GPT-4-Turbo高出61.00分，在ALFWorld上高出20.50分，在BabyAI上高出9.87分，显著优于GPT-4-Turbo。这验证了探索与学习范式在开发智能体方面的优越性和前景。
来自: [2025.acl-long.1355_AgentGym, 第7页, 2025.acl-long.1355_AgentGym_chunk_020]</t>
  </si>
  <si>
    <t>在Humanity's Last Exam数据集上，Agentic Reasoning与DeepSeek-R1结合的性能提升是多少？</t>
  </si>
  <si>
    <t>在Humanity's Last Exam数据集上，Agentic Reasoning与DeepSeek-R1结合达到了23.8%的准确率，比基础模型提升了14.4%，与专有的OpenAI Deep Research的差距缩小到仅2.8%。</t>
  </si>
  <si>
    <t>在Humanity's Last Exam数据集上，Agentic Reasoning与DeepSeek-R1结合后，准确率达到23.8%，相比原始DeepSeek-R1模型提升了14.4%。
来自: [2025.acl-long.1383_Agentic Reasoning, 第1页, 2025.acl-long.1383_Agentic Reasoning_chunk_002]
来自: [2025.acl-long.1383_Agentic Reasoning, 第2页, 2025.acl-long.1383_Agentic Reasoning_chunk_004]</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</si>
  <si>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</si>
  <si>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</si>
  <si>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1上得分为74.36，Level 2上得分为69.21，Level 3上得分为45.46，平均得分为66.13。相比OpenAI Deep Research，Agentic Reasoning在Level 1和Level 2上表现更优，但在Level 3上略低（45.46 vs 47.60），平均分差距为1.23分。
来自: [2025.acl-long.1383_Agentic Reasoning, 第5页, 2025.acl-long.1383_Agentic Reasoning_chunk_010]
来自: [2025.acl-long.1383_Agentic Reasoning, 第5页, 2025.acl-long.1383_Agentic Reasoning_chunk_011]</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</si>
  <si>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</si>
  <si>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</si>
  <si>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在所有专科的诊断准确率上均优于Med-MLLMs。即使是初级医生的平均准确率（57.4%）也略高于表现最好的Med-MLLM（GPT-4V，准确率54.3%）。所有Med-MLLMs的平均准确率均低于人类医生，其中GPT-4V最接近人类医生水平。
来自: [2025.acl-long.1178_Asclepius, 第7页, 2025.acl-long.1178_Asclepius_chunk_016]
来自: [2025.acl-long.1178_Asclepius, 第14页, 2025.acl-long.1178_Asclepius_chunk_022]</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</si>
  <si>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</si>
  <si>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</si>
  <si>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在LongDocURL基准测试中，GPT-4o是唯一达到及格标准的模型，得分最高为64.5分。其他开源模型表现较差，只有Qwen2-VL（得分30.6）和LLaVA-OneVision（得分22.0和25.0）超过了20分。
来自: [2025.acl-long.57_LongDocURL, 第6页, 2025.acl-long.57_LongDocURL_chunk_013]</t>
  </si>
  <si>
    <t>RAGEval 提出的自动评估指标与人工评估的一致性如何？</t>
  </si>
  <si>
    <t>实验结果表明，RAGEval 的机器自动评估与人工评估在所有指标上均表现出高度一致性。两者之间的最终绝对差异仅为 1.67%，且三位标注者之间的 Fleiss’ Kappa 值达到了 0.7686，验证了该自动评估指标的可靠性及其与人类判断的一致性。</t>
  </si>
  <si>
    <t>RAGEval提出的自动评估指标（Completeness、Hallucination、Irrelevance）在使用LLM进行评分时，与人工评估具有高度一致性。
来自: [2025.acl-long.418_RAGEval, 第1页, 2025.acl-long.418_RAGEval_chunk_000]</t>
  </si>
  <si>
    <t>在利用大模型内部知识应对知识冲突时，《Astute RAG》与《FaithfulRAG》各自采用了什么核心机制/模块来提取或生成内部知识？</t>
  </si>
  <si>
    <t>跨论文比较类</t>
  </si>
  <si>
    <t>《Astute RAG》：采用自适应段落生成（Adaptive Generation of Internal Knowledge / Adaptive Passage Generation） 机制，通过提示大模型直接生成包含内部知识的段落（passages），并允许模型自适应决定生成的段落数量。
《FaithfulRAG》：采用自我事实挖掘 模块，通过外部化大模型对问题的理解，提取出细粒度的、事实级别的内部知识。</t>
  </si>
  <si>
    <t>在应对知识冲突时，《Astute RAG》通过自适应地提取大模型内部知识（adaptively elicits essential information from LLMs' internal knowledge）来获取内部信息，但论文片段未给出具体的模块名称或详细机制。而《FaithfulRAG》则采用Self-Fact Mining模块，该模块包含三个子阶段：Self-Knowledge Extraction（提取抽象知识需求）、Self-Context Generation（生成自上下文）和Self-Fact Extraction（提取事实级知识），从而将大模型的参数知识外部化为细粒度的事实表示。
来自: [Astute RAG, 第1页, 2025.acl-long.1476_Astute RAG_chunk_000]
来自: [FaithfulRAG, 第4页, 2025.acl-long.1062_FaithfulRAG_chunk_010]</t>
  </si>
  <si>
    <t>"UniRAG"和"FaithfulRAG"在处理查询理解方面的核心创新分别是什么？</t>
  </si>
  <si>
    <t>UniRAG提出统一的查询理解框架，集成查询增强和查询编码两个阶段；FaithfulRAG专注于知识冲突解决，通过动态协调参数化知识和上下文知识来提高语义一致性。</t>
  </si>
  <si>
    <t>UniRAG的核心创新在于采用解码器-only大语言模型联合执行查询增强与编码，消除了任务分离，并能够根据用户查询自适应选择最优增强策略（如查询改写、扩展或抽象）。FaithfulRAG在查询理解方面的核心创新是提出自事实挖掘模块，将大语言模型对问题的理解外部化为事实级别的细粒度知识，从而精确识别模型参数知识与检索上下文之间的冲突。
来自: [2025.acl-long.693_UniRAG, 第1页, 2025.acl-long.693_UniRAG_chunk_000]
来自: [2025.acl-long.1062_FaithfulRAG, 第2页, 2025.acl-long.1062_FaithfulRAG_chunk_005]</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</si>
  <si>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</si>
  <si>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</si>
  <si>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MEMERAG和DragonBall都是用于评估检索增强生成（RAG）系统的基准数据集，但它们在构建方式、语言覆盖和评估维度上存在差异。
**相同点**：两者都关注生成答案的质量，并采用细粒度的评估维度来替代传统指标（如ROUGE、BLEU）。MEMERAG聚焦于忠实性（Faithfulness）和相关性（Relevance），而DragonBall则提出了完整性（Completeness）、幻觉（Hallucination）和不相关性（Irrelevance）三个指标。两者都旨在提供更稳定、更符合人类判断的自动评估。
**不同点**：
- **语言与数据来源**：MEMERAG基于MIRACL数据集，包含英语、德语、西班牙语、法语和印地语五种语言，使用母语问题以避免翻译偏差；DragonBall则覆盖中文和英文，专注于金融、法律、医疗三个领域，共6,711个问题。
- **评估维度**：MEMERAG评估忠实性（答案是否基于上下文）和相关性（答案是否与问题相关）；DragonBall评估完整性（答案是否覆盖关键点）、幻觉（答案是否包含上下文不支持的内容）和不相关性（答案是否偏离问题）。
- **构建方式**：MEMERAG通过人工标注生成答案的质量；DragonBall通过自动生成答案并迭代优化，确保答案与参考一致，并提取关键点用于评估。
来自: [MEMERAG, 第3页, 2025.acl-long.1101_MEMERAG_chunk_007]
来自: [RAGEval, 第2页, 2025.acl-long.418_RAGEval_chunk_002]</t>
  </si>
  <si>
    <t>比较SYNQA和RHIO两种方法在提升模型性能方面的不同策略。</t>
  </si>
  <si>
    <t>SYNQA：通过 SYNQA 合成的训练数据在对小型语言模型进行微调以实现不同问答任务和领域的上下文归因时非常有效;
RHIO：负向数据增强与错误模拟。通过选择性地掩码检索头，故意制造出“不忠实”的样本，以模拟模型在真实情况下的内在错误, 然后将正常样本与这些构造出的错误样本放在一起进行联合训练，并引入“控制标记”。</t>
  </si>
  <si>
    <t>SYNQA和RHIO在提升模型性能方面采用了不同的策略：SYNQA通过生成合成训练数据来微调模型，专注于提升上下文归因的精确性和召回率，使小模型在域内和域外任务上超越更大模型，强调数据效率和可扩展性；而RHIO则通过掩码检索头诱导负样本并结合自诱导解码（SID）来优化解码过程，专注于提升模型的上下文忠实度（faithfulness），通过调整超参数α（最佳值为0.2）进一步优化性能。
来自: [2025.acl-long.828_On Synthesizing Data for Context Attribution in Question Answering, 第6-7页, 2025.acl-long.828_On Synthesizing Data for Context Attribution in Question Answering_chunk_015]
来自: [2025.acl-long.826_Improving Contextual Faithfulness of Large Language Models via Retrieval Heads-Induced Optimization, 第7页, 2025.acl-long.826_Improving Contextual Faithfulness of Large Language Models via Retrieval Heads-Induced Optimization_chunk_017]</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</si>
  <si>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</si>
  <si>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</si>
  <si>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专注于评估 LLM 在长上下文（8k-2M词）下的深度理解与推理能力，涵盖单/多文档问答、长上下文学习、长对话历史、代码仓库和结构化数据理解等六大任务类别，属于静态评估基准。AGENTGYM 则是一个交互式框架，覆盖7个真实世界场景、14个环境和89个任务，支持多轮交互和实时反馈，用于训练和评估基于 LLM 的智能体在多样化环境中的决策能力，强调探索与自我改进。
来自: [LongBench v2, 第1页, 2025.acl-long.183_LongBench v2_chunk_002]
来自: [AgentGym, 第1页, 2025.acl-long.1355_AgentGym_chunk_001]</t>
  </si>
  <si>
    <t>比较Agentic Reasoning和AR-MCTS在处理复杂推理任务时的方法差异。</t>
  </si>
  <si>
    <t>Agentic Reasoning通过动态利用网络搜索、代码执行和结构化记忆来解决复杂问题，核心创新是Mind-Map agent构建知识图存储推理上下文。而AR-MCTS通过主动检索（AR）和蒙特卡洛树搜索（MCTS）逐步提升多模态大语言模型（MLLM）的推理能力，该框架遵循MCTS算法并在扩展阶段启发式地集成主动检索机制，以自动获取高质量的逐步推理注释。两者都使用外部工具增强推理，但Agentic Reasoning更注重工具集成和记忆管理，AR-MCTS更注重搜索策略和状态评估。</t>
  </si>
  <si>
    <t>比较LongDocURL与REAL-MM-RAG这两个基准测试在构建评估体系（或任务设计）时的侧重点差异</t>
  </si>
  <si>
    <t>REAL-MM-RAG专注于真实世界的多模态文档检索，强调四个关键属性：多模态文档、增强难度、真实RAG查询和准确标注，并使用基于查询改写的多难度级别方案。LongDocURL则专注于长文档理解，将问题分为理解、推理和定位三类任务，并根据证据元素类型（文本、布局、图表、表格）和页面数量（单页、多页、跨元素）进行细分，共20个子任务。</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</si>
  <si>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</si>
  <si>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这10篇论文中哪一篇提出了名为"RAG-Guard"的安全防护框架？</t>
  </si>
  <si>
    <t>不可回答类</t>
  </si>
  <si>
    <t>无法回答。</t>
  </si>
  <si>
    <t>"ProLong"模型在训练过程中使用了哪种具体的优化器来处理长序列训练的梯度问题？</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</si>
  <si>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</si>
  <si>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</si>
  <si>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</si>
  <si>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</si>
  <si>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</si>
  <si>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</si>
  <si>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</si>
  <si>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</si>
  <si>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</si>
  <si>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</si>
  <si>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</si>
  <si>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SETR模型在训练时具体的训练时间是多少小时？</t>
    <phoneticPr fontId="2" type="noConversion"/>
  </si>
  <si>
    <t>根据已有信息，无法回答此问题。</t>
    <phoneticPr fontId="2" type="noConversion"/>
  </si>
  <si>
    <t>QAEncoder侧重于优化检索阶段（RAG中的查询-文档对齐），核心痛点是用户查询与相关文档之间的表示差距导致精确匹配困难。On Synthesizing Data for Context Attribution in Question Answering侧重于优化答案生成后的归因 阶段，核心痛点是LLM的幻觉问题，需要将答案链接到上下文证据。
来自: [QAEncoder, 第1页, 2025.acl-long.217_QAEncoder_chunk_000]
来自: [On Synthesizing Data for Context Attribution in Question Answering, 第1页, 2025.acl-long.828_On Synthesizing Data for Context Attribution in Question Answering_chunk_001]</t>
    <phoneticPr fontId="2" type="noConversion"/>
  </si>
  <si>
    <t>在构建可靠的问答（QA）系统时，这QAEncoder与On Synthesizing Data for Context Attribution in Question Answering两篇论文分别侧重于优化系统工作流的哪个阶段？它们各自试图解决的核心痛点是什么？</t>
    <phoneticPr fontId="2" type="noConversion"/>
  </si>
  <si>
    <t>改了一些引用准确率, 针对测试集的原文页码出处进行更改, 原本有0.7几, 改完之后只有0.54, 回复准确率没改, 只是纠正了一些</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</si>
</sst>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wrapText="1"/>
    </xf>
    <xf numFmtId="0" fontId="1" fillId="2" borderId="1" xfId="0" applyFont="1" applyFill="1" applyBorder="1"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horizontal="center"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47" zoomScaleNormal="100" workbookViewId="0">
      <selection activeCell="P51" sqref="P51"/>
    </sheetView>
  </sheetViews>
  <sheetFormatPr defaultRowHeight="14" x14ac:dyDescent="0.25"/>
  <cols>
    <col min="1" max="4" width="25.7265625" style="1" customWidth="1"/>
    <col min="5" max="8" width="8.7265625" style="1"/>
    <col min="9" max="9" width="13.453125" style="4" bestFit="1" customWidth="1"/>
    <col min="10" max="16384" width="8.7265625" style="1"/>
  </cols>
  <sheetData>
    <row r="1" spans="1:15" ht="42" x14ac:dyDescent="0.25">
      <c r="A1" s="2" t="s">
        <v>0</v>
      </c>
      <c r="B1" s="2" t="s">
        <v>1</v>
      </c>
      <c r="C1" s="2" t="s">
        <v>2</v>
      </c>
      <c r="D1" s="2" t="s">
        <v>3</v>
      </c>
      <c r="E1" s="2" t="s">
        <v>4</v>
      </c>
      <c r="F1" s="2" t="s">
        <v>5</v>
      </c>
      <c r="G1" s="2" t="s">
        <v>6</v>
      </c>
      <c r="H1" s="2" t="s">
        <v>7</v>
      </c>
      <c r="I1" s="5" t="s">
        <v>8</v>
      </c>
      <c r="J1" s="2" t="s">
        <v>9</v>
      </c>
      <c r="K1" s="2" t="s">
        <v>10</v>
      </c>
      <c r="L1" s="2" t="s">
        <v>11</v>
      </c>
      <c r="M1" s="2" t="s">
        <v>12</v>
      </c>
      <c r="N1" s="2" t="s">
        <v>13</v>
      </c>
      <c r="O1" s="2" t="s">
        <v>14</v>
      </c>
    </row>
    <row r="2" spans="1:15" ht="210" x14ac:dyDescent="0.25">
      <c r="A2" s="3" t="s">
        <v>15</v>
      </c>
      <c r="B2" s="3" t="s">
        <v>16</v>
      </c>
      <c r="C2" s="3" t="s">
        <v>17</v>
      </c>
      <c r="D2" s="3" t="s">
        <v>18</v>
      </c>
      <c r="E2" s="3">
        <v>0</v>
      </c>
      <c r="F2" s="3">
        <v>1</v>
      </c>
      <c r="G2" s="3">
        <v>1</v>
      </c>
      <c r="H2" s="3">
        <v>0.5</v>
      </c>
      <c r="I2" s="6">
        <v>1</v>
      </c>
      <c r="J2" s="3">
        <v>1</v>
      </c>
      <c r="K2" s="3" t="b">
        <v>0</v>
      </c>
      <c r="L2" s="3">
        <v>3</v>
      </c>
      <c r="M2" s="3">
        <v>0</v>
      </c>
      <c r="N2" s="3">
        <v>0</v>
      </c>
      <c r="O2" s="3"/>
    </row>
    <row r="3" spans="1:15" ht="168" x14ac:dyDescent="0.25">
      <c r="A3" s="3" t="s">
        <v>19</v>
      </c>
      <c r="B3" s="3" t="s">
        <v>16</v>
      </c>
      <c r="C3" s="3" t="s">
        <v>20</v>
      </c>
      <c r="D3" s="3" t="s">
        <v>21</v>
      </c>
      <c r="E3" s="3">
        <v>1</v>
      </c>
      <c r="F3" s="3">
        <v>1</v>
      </c>
      <c r="G3" s="3">
        <v>1</v>
      </c>
      <c r="H3" s="3">
        <v>1</v>
      </c>
      <c r="I3" s="6">
        <v>1</v>
      </c>
      <c r="J3" s="3">
        <v>0.66700000000000004</v>
      </c>
      <c r="K3" s="3" t="b">
        <v>0</v>
      </c>
      <c r="L3" s="3">
        <v>1</v>
      </c>
      <c r="M3" s="3">
        <v>0</v>
      </c>
      <c r="N3" s="3">
        <v>1</v>
      </c>
      <c r="O3" s="3"/>
    </row>
    <row r="4" spans="1:15" ht="224" x14ac:dyDescent="0.25">
      <c r="A4" s="3" t="s">
        <v>22</v>
      </c>
      <c r="B4" s="3" t="s">
        <v>16</v>
      </c>
      <c r="C4" s="3" t="s">
        <v>23</v>
      </c>
      <c r="D4" s="3" t="s">
        <v>24</v>
      </c>
      <c r="E4" s="3">
        <v>1</v>
      </c>
      <c r="F4" s="3">
        <v>1</v>
      </c>
      <c r="G4" s="3">
        <v>1</v>
      </c>
      <c r="H4" s="3">
        <v>1</v>
      </c>
      <c r="I4" s="6">
        <v>0</v>
      </c>
      <c r="J4" s="3">
        <v>1</v>
      </c>
      <c r="K4" s="3" t="b">
        <v>0</v>
      </c>
      <c r="L4" s="3">
        <v>1</v>
      </c>
      <c r="M4" s="3">
        <v>0</v>
      </c>
      <c r="N4" s="3">
        <v>0</v>
      </c>
      <c r="O4" s="3"/>
    </row>
    <row r="5" spans="1:15" ht="294" x14ac:dyDescent="0.25">
      <c r="A5" s="3" t="s">
        <v>25</v>
      </c>
      <c r="B5" s="3" t="s">
        <v>16</v>
      </c>
      <c r="C5" s="3" t="s">
        <v>26</v>
      </c>
      <c r="D5" s="3" t="s">
        <v>27</v>
      </c>
      <c r="E5" s="3">
        <v>1</v>
      </c>
      <c r="F5" s="3">
        <v>1</v>
      </c>
      <c r="G5" s="3">
        <v>1</v>
      </c>
      <c r="H5" s="3">
        <v>1</v>
      </c>
      <c r="I5" s="6">
        <v>0</v>
      </c>
      <c r="J5" s="3">
        <v>0.8</v>
      </c>
      <c r="K5" s="3" t="b">
        <v>0</v>
      </c>
      <c r="L5" s="3">
        <v>2</v>
      </c>
      <c r="M5" s="3">
        <v>0</v>
      </c>
      <c r="N5" s="3">
        <v>1</v>
      </c>
      <c r="O5" s="3"/>
    </row>
    <row r="6" spans="1:15" ht="409.5" x14ac:dyDescent="0.25">
      <c r="A6" s="3" t="s">
        <v>28</v>
      </c>
      <c r="B6" s="3" t="s">
        <v>16</v>
      </c>
      <c r="C6" s="3" t="s">
        <v>29</v>
      </c>
      <c r="D6" s="3" t="s">
        <v>30</v>
      </c>
      <c r="E6" s="3">
        <v>0</v>
      </c>
      <c r="F6" s="3">
        <v>0</v>
      </c>
      <c r="G6" s="3">
        <v>0</v>
      </c>
      <c r="H6" s="3">
        <v>0</v>
      </c>
      <c r="I6" s="6">
        <v>0.66669999999999996</v>
      </c>
      <c r="J6" s="3">
        <v>0.8</v>
      </c>
      <c r="K6" s="3" t="b">
        <v>0</v>
      </c>
      <c r="L6" s="3">
        <v>2</v>
      </c>
      <c r="M6" s="3">
        <v>1</v>
      </c>
      <c r="N6" s="3">
        <v>0</v>
      </c>
      <c r="O6" s="3"/>
    </row>
    <row r="7" spans="1:15" ht="409.5" x14ac:dyDescent="0.25">
      <c r="A7" s="3" t="s">
        <v>31</v>
      </c>
      <c r="B7" s="3" t="s">
        <v>16</v>
      </c>
      <c r="C7" s="3" t="s">
        <v>32</v>
      </c>
      <c r="D7" s="3" t="s">
        <v>33</v>
      </c>
      <c r="E7" s="3">
        <v>1</v>
      </c>
      <c r="F7" s="3">
        <v>1</v>
      </c>
      <c r="G7" s="3">
        <v>1</v>
      </c>
      <c r="H7" s="3">
        <v>1</v>
      </c>
      <c r="I7" s="6">
        <v>0</v>
      </c>
      <c r="J7" s="3">
        <v>0.8</v>
      </c>
      <c r="K7" s="3" t="b">
        <v>0</v>
      </c>
      <c r="L7" s="3">
        <v>2</v>
      </c>
      <c r="M7" s="3">
        <v>1</v>
      </c>
      <c r="N7" s="3">
        <v>0</v>
      </c>
      <c r="O7" s="3"/>
    </row>
    <row r="8" spans="1:15" ht="238" x14ac:dyDescent="0.25">
      <c r="A8" s="3" t="s">
        <v>34</v>
      </c>
      <c r="B8" s="3" t="s">
        <v>16</v>
      </c>
      <c r="C8" s="3" t="s">
        <v>35</v>
      </c>
      <c r="D8" s="3" t="s">
        <v>36</v>
      </c>
      <c r="E8" s="3">
        <v>1</v>
      </c>
      <c r="F8" s="3">
        <v>1</v>
      </c>
      <c r="G8" s="3">
        <v>1</v>
      </c>
      <c r="H8" s="3">
        <v>1</v>
      </c>
      <c r="I8" s="6">
        <v>1</v>
      </c>
      <c r="J8" s="3">
        <v>0.66700000000000004</v>
      </c>
      <c r="K8" s="3" t="b">
        <v>0</v>
      </c>
      <c r="L8" s="3">
        <v>1</v>
      </c>
      <c r="M8" s="3">
        <v>0</v>
      </c>
      <c r="N8" s="3">
        <v>1</v>
      </c>
      <c r="O8" s="3"/>
    </row>
    <row r="9" spans="1:15" ht="210" x14ac:dyDescent="0.25">
      <c r="A9" s="3" t="s">
        <v>37</v>
      </c>
      <c r="B9" s="3" t="s">
        <v>16</v>
      </c>
      <c r="C9" s="3" t="s">
        <v>38</v>
      </c>
      <c r="D9" s="3" t="s">
        <v>39</v>
      </c>
      <c r="E9" s="3">
        <v>1</v>
      </c>
      <c r="F9" s="3">
        <v>1</v>
      </c>
      <c r="G9" s="3">
        <v>1</v>
      </c>
      <c r="H9" s="3">
        <v>1</v>
      </c>
      <c r="I9" s="6">
        <v>1</v>
      </c>
      <c r="J9" s="3">
        <v>1</v>
      </c>
      <c r="K9" s="3" t="b">
        <v>0</v>
      </c>
      <c r="L9" s="3">
        <v>4</v>
      </c>
      <c r="M9" s="3">
        <v>0</v>
      </c>
      <c r="N9" s="3">
        <v>0</v>
      </c>
      <c r="O9" s="3"/>
    </row>
    <row r="10" spans="1:15" ht="409.5" x14ac:dyDescent="0.25">
      <c r="A10" s="3" t="s">
        <v>40</v>
      </c>
      <c r="B10" s="3" t="s">
        <v>16</v>
      </c>
      <c r="C10" s="3" t="s">
        <v>41</v>
      </c>
      <c r="D10" s="3" t="s">
        <v>42</v>
      </c>
      <c r="E10" s="3">
        <v>1</v>
      </c>
      <c r="F10" s="3">
        <v>1</v>
      </c>
      <c r="G10" s="3">
        <v>1</v>
      </c>
      <c r="H10" s="3">
        <v>1</v>
      </c>
      <c r="I10" s="6">
        <v>0.66669999999999996</v>
      </c>
      <c r="J10" s="3">
        <v>1</v>
      </c>
      <c r="K10" s="3" t="b">
        <v>0</v>
      </c>
      <c r="L10" s="3">
        <v>3</v>
      </c>
      <c r="M10" s="3">
        <v>0</v>
      </c>
      <c r="N10" s="3">
        <v>0</v>
      </c>
      <c r="O10" s="3"/>
    </row>
    <row r="11" spans="1:15" ht="210" x14ac:dyDescent="0.25">
      <c r="A11" s="3" t="s">
        <v>43</v>
      </c>
      <c r="B11" s="3" t="s">
        <v>16</v>
      </c>
      <c r="C11" s="3" t="s">
        <v>44</v>
      </c>
      <c r="D11" s="3" t="s">
        <v>45</v>
      </c>
      <c r="E11" s="3">
        <v>1</v>
      </c>
      <c r="F11" s="3">
        <v>1</v>
      </c>
      <c r="G11" s="3">
        <v>1</v>
      </c>
      <c r="H11" s="3">
        <v>1</v>
      </c>
      <c r="I11" s="6">
        <v>1</v>
      </c>
      <c r="J11" s="3">
        <v>1</v>
      </c>
      <c r="K11" s="3" t="b">
        <v>0</v>
      </c>
      <c r="L11" s="3">
        <v>4</v>
      </c>
      <c r="M11" s="3">
        <v>0</v>
      </c>
      <c r="N11" s="3">
        <v>0</v>
      </c>
      <c r="O11" s="3"/>
    </row>
    <row r="12" spans="1:15" ht="196" x14ac:dyDescent="0.25">
      <c r="A12" s="3" t="s">
        <v>46</v>
      </c>
      <c r="B12" s="3" t="s">
        <v>16</v>
      </c>
      <c r="C12" s="3" t="s">
        <v>47</v>
      </c>
      <c r="D12" s="3" t="s">
        <v>48</v>
      </c>
      <c r="E12" s="3">
        <v>1</v>
      </c>
      <c r="F12" s="3">
        <v>1</v>
      </c>
      <c r="G12" s="3">
        <v>1</v>
      </c>
      <c r="H12" s="3">
        <v>1</v>
      </c>
      <c r="I12" s="6">
        <v>1</v>
      </c>
      <c r="J12" s="3">
        <v>1</v>
      </c>
      <c r="K12" s="3" t="b">
        <v>0</v>
      </c>
      <c r="L12" s="3">
        <v>2</v>
      </c>
      <c r="M12" s="3">
        <v>0</v>
      </c>
      <c r="N12" s="3">
        <v>0</v>
      </c>
      <c r="O12" s="3"/>
    </row>
    <row r="13" spans="1:15" ht="308" x14ac:dyDescent="0.25">
      <c r="A13" s="3" t="s">
        <v>49</v>
      </c>
      <c r="B13" s="3" t="s">
        <v>16</v>
      </c>
      <c r="C13" s="3" t="s">
        <v>50</v>
      </c>
      <c r="D13" s="3" t="s">
        <v>51</v>
      </c>
      <c r="E13" s="3">
        <v>0</v>
      </c>
      <c r="F13" s="3">
        <v>0</v>
      </c>
      <c r="G13" s="3">
        <v>0</v>
      </c>
      <c r="H13" s="3">
        <v>0</v>
      </c>
      <c r="I13" s="6">
        <v>1</v>
      </c>
      <c r="J13" s="3">
        <v>1</v>
      </c>
      <c r="K13" s="3" t="b">
        <v>0</v>
      </c>
      <c r="L13" s="3">
        <v>3</v>
      </c>
      <c r="M13" s="3">
        <v>0</v>
      </c>
      <c r="N13" s="3">
        <v>0</v>
      </c>
      <c r="O13" s="3"/>
    </row>
    <row r="14" spans="1:15" ht="294" x14ac:dyDescent="0.25">
      <c r="A14" s="3" t="s">
        <v>52</v>
      </c>
      <c r="B14" s="3" t="s">
        <v>53</v>
      </c>
      <c r="C14" s="3" t="s">
        <v>54</v>
      </c>
      <c r="D14" s="3" t="s">
        <v>55</v>
      </c>
      <c r="E14" s="3">
        <v>0</v>
      </c>
      <c r="F14" s="3">
        <v>0</v>
      </c>
      <c r="G14" s="3">
        <v>0</v>
      </c>
      <c r="H14" s="3">
        <v>0</v>
      </c>
      <c r="I14" s="6">
        <v>0</v>
      </c>
      <c r="J14" s="3">
        <v>0.66700000000000004</v>
      </c>
      <c r="K14" s="3" t="b">
        <v>0</v>
      </c>
      <c r="L14" s="3">
        <v>1</v>
      </c>
      <c r="M14" s="3">
        <v>0</v>
      </c>
      <c r="N14" s="3">
        <v>1</v>
      </c>
      <c r="O14" s="3"/>
    </row>
    <row r="15" spans="1:15" ht="168" x14ac:dyDescent="0.25">
      <c r="A15" s="3" t="s">
        <v>56</v>
      </c>
      <c r="B15" s="3" t="s">
        <v>53</v>
      </c>
      <c r="C15" s="3" t="s">
        <v>57</v>
      </c>
      <c r="D15" s="3" t="s">
        <v>58</v>
      </c>
      <c r="E15" s="3">
        <v>1</v>
      </c>
      <c r="F15" s="3">
        <v>1</v>
      </c>
      <c r="G15" s="3">
        <v>1</v>
      </c>
      <c r="H15" s="3">
        <v>1</v>
      </c>
      <c r="I15" s="6">
        <v>1</v>
      </c>
      <c r="J15" s="3">
        <v>1</v>
      </c>
      <c r="K15" s="3" t="b">
        <v>0</v>
      </c>
      <c r="L15" s="3">
        <v>3</v>
      </c>
      <c r="M15" s="3">
        <v>0</v>
      </c>
      <c r="N15" s="3">
        <v>0</v>
      </c>
      <c r="O15" s="3"/>
    </row>
    <row r="16" spans="1:15" s="8" customFormat="1" ht="42" x14ac:dyDescent="0.25">
      <c r="A16" s="7" t="s">
        <v>59</v>
      </c>
      <c r="B16" s="7" t="s">
        <v>53</v>
      </c>
      <c r="C16" s="7" t="s">
        <v>60</v>
      </c>
      <c r="D16" s="7" t="s">
        <v>61</v>
      </c>
      <c r="E16" s="7">
        <v>0</v>
      </c>
      <c r="F16" s="7">
        <v>0</v>
      </c>
      <c r="G16" s="7">
        <v>0</v>
      </c>
      <c r="H16" s="7">
        <v>0</v>
      </c>
      <c r="I16" s="7">
        <v>0</v>
      </c>
      <c r="J16" s="7">
        <v>0</v>
      </c>
      <c r="K16" s="7" t="b">
        <v>0</v>
      </c>
      <c r="L16" s="7">
        <v>0</v>
      </c>
      <c r="M16" s="7">
        <v>0</v>
      </c>
      <c r="N16" s="7">
        <v>0</v>
      </c>
      <c r="O16" s="7"/>
    </row>
    <row r="17" spans="1:15" ht="308" x14ac:dyDescent="0.25">
      <c r="A17" s="3" t="s">
        <v>62</v>
      </c>
      <c r="B17" s="3" t="s">
        <v>53</v>
      </c>
      <c r="C17" s="3" t="s">
        <v>63</v>
      </c>
      <c r="D17" s="3" t="s">
        <v>64</v>
      </c>
      <c r="E17" s="3">
        <v>0</v>
      </c>
      <c r="F17" s="3">
        <v>0</v>
      </c>
      <c r="G17" s="3">
        <v>0</v>
      </c>
      <c r="H17" s="3">
        <v>0</v>
      </c>
      <c r="I17" s="6">
        <v>0.66669999999999996</v>
      </c>
      <c r="J17" s="3">
        <v>0.8</v>
      </c>
      <c r="K17" s="3" t="b">
        <v>0</v>
      </c>
      <c r="L17" s="3">
        <v>2</v>
      </c>
      <c r="M17" s="3">
        <v>0</v>
      </c>
      <c r="N17" s="3">
        <v>1</v>
      </c>
      <c r="O17" s="3"/>
    </row>
    <row r="18" spans="1:15" ht="210" x14ac:dyDescent="0.25">
      <c r="A18" s="3" t="s">
        <v>65</v>
      </c>
      <c r="B18" s="3" t="s">
        <v>53</v>
      </c>
      <c r="C18" s="3" t="s">
        <v>66</v>
      </c>
      <c r="D18" s="3" t="s">
        <v>67</v>
      </c>
      <c r="E18" s="3">
        <v>0.5</v>
      </c>
      <c r="F18" s="3">
        <v>0.5</v>
      </c>
      <c r="G18" s="3">
        <v>0.5</v>
      </c>
      <c r="H18" s="3">
        <v>1</v>
      </c>
      <c r="I18" s="6">
        <v>0</v>
      </c>
      <c r="J18" s="3">
        <v>1</v>
      </c>
      <c r="K18" s="3" t="b">
        <v>0</v>
      </c>
      <c r="L18" s="3">
        <v>4</v>
      </c>
      <c r="M18" s="3">
        <v>0</v>
      </c>
      <c r="N18" s="3">
        <v>0</v>
      </c>
      <c r="O18" s="3"/>
    </row>
    <row r="19" spans="1:15" ht="409.5" x14ac:dyDescent="0.25">
      <c r="A19" s="3" t="s">
        <v>68</v>
      </c>
      <c r="B19" s="3" t="s">
        <v>53</v>
      </c>
      <c r="C19" s="3" t="s">
        <v>69</v>
      </c>
      <c r="D19" s="3" t="s">
        <v>70</v>
      </c>
      <c r="E19" s="3">
        <v>1</v>
      </c>
      <c r="F19" s="3">
        <v>1</v>
      </c>
      <c r="G19" s="3">
        <v>1</v>
      </c>
      <c r="H19" s="3">
        <v>1</v>
      </c>
      <c r="I19" s="6">
        <v>0.66669999999999996</v>
      </c>
      <c r="J19" s="3">
        <v>1</v>
      </c>
      <c r="K19" s="3" t="b">
        <v>0</v>
      </c>
      <c r="L19" s="3">
        <v>3</v>
      </c>
      <c r="M19" s="3">
        <v>0</v>
      </c>
      <c r="N19" s="3">
        <v>0</v>
      </c>
      <c r="O19" s="3"/>
    </row>
    <row r="20" spans="1:15" ht="224" x14ac:dyDescent="0.25">
      <c r="A20" s="3" t="s">
        <v>71</v>
      </c>
      <c r="B20" s="3" t="s">
        <v>53</v>
      </c>
      <c r="C20" s="3" t="s">
        <v>72</v>
      </c>
      <c r="D20" s="3" t="s">
        <v>73</v>
      </c>
      <c r="E20" s="3">
        <v>1</v>
      </c>
      <c r="F20" s="3">
        <v>1</v>
      </c>
      <c r="G20" s="3">
        <v>1</v>
      </c>
      <c r="H20" s="3">
        <v>1</v>
      </c>
      <c r="I20" s="6">
        <v>1</v>
      </c>
      <c r="J20" s="3">
        <v>1</v>
      </c>
      <c r="K20" s="3" t="b">
        <v>0</v>
      </c>
      <c r="L20" s="3">
        <v>2</v>
      </c>
      <c r="M20" s="3">
        <v>0</v>
      </c>
      <c r="N20" s="3">
        <v>0</v>
      </c>
      <c r="O20" s="3"/>
    </row>
    <row r="21" spans="1:15" s="8" customFormat="1" ht="409.5" x14ac:dyDescent="0.25">
      <c r="A21" s="7" t="s">
        <v>74</v>
      </c>
      <c r="B21" s="7" t="s">
        <v>53</v>
      </c>
      <c r="C21" s="7" t="s">
        <v>75</v>
      </c>
      <c r="D21" s="7" t="s">
        <v>76</v>
      </c>
      <c r="E21" s="7">
        <v>0</v>
      </c>
      <c r="F21" s="7">
        <v>0</v>
      </c>
      <c r="G21" s="7">
        <v>0</v>
      </c>
      <c r="H21" s="7">
        <v>0</v>
      </c>
      <c r="I21" s="7">
        <v>0</v>
      </c>
      <c r="J21" s="7">
        <v>0</v>
      </c>
      <c r="K21" s="7" t="b">
        <v>0</v>
      </c>
      <c r="L21" s="7">
        <v>0</v>
      </c>
      <c r="M21" s="7">
        <v>1</v>
      </c>
      <c r="N21" s="7">
        <v>1</v>
      </c>
      <c r="O21" s="7"/>
    </row>
    <row r="22" spans="1:15" ht="336" x14ac:dyDescent="0.25">
      <c r="A22" s="3" t="s">
        <v>77</v>
      </c>
      <c r="B22" s="3" t="s">
        <v>53</v>
      </c>
      <c r="C22" s="3" t="s">
        <v>78</v>
      </c>
      <c r="D22" s="3" t="s">
        <v>79</v>
      </c>
      <c r="E22" s="3">
        <v>1</v>
      </c>
      <c r="F22" s="3">
        <v>1</v>
      </c>
      <c r="G22" s="3">
        <v>1</v>
      </c>
      <c r="H22" s="3">
        <v>1</v>
      </c>
      <c r="I22" s="6">
        <v>1</v>
      </c>
      <c r="J22" s="3">
        <v>0.8</v>
      </c>
      <c r="K22" s="3" t="b">
        <v>0</v>
      </c>
      <c r="L22" s="3">
        <v>2</v>
      </c>
      <c r="M22" s="3">
        <v>1</v>
      </c>
      <c r="N22" s="3">
        <v>0</v>
      </c>
      <c r="O22" s="3"/>
    </row>
    <row r="23" spans="1:15" ht="378" x14ac:dyDescent="0.25">
      <c r="A23" s="3" t="s">
        <v>80</v>
      </c>
      <c r="B23" s="3" t="s">
        <v>53</v>
      </c>
      <c r="C23" s="3" t="s">
        <v>81</v>
      </c>
      <c r="D23" s="3" t="s">
        <v>82</v>
      </c>
      <c r="E23" s="3">
        <v>1</v>
      </c>
      <c r="F23" s="3">
        <v>1</v>
      </c>
      <c r="G23" s="3">
        <v>1</v>
      </c>
      <c r="H23" s="3">
        <v>1</v>
      </c>
      <c r="I23" s="6">
        <v>1</v>
      </c>
      <c r="J23" s="3">
        <v>1</v>
      </c>
      <c r="K23" s="3" t="b">
        <v>0</v>
      </c>
      <c r="L23" s="3">
        <v>3</v>
      </c>
      <c r="M23" s="3">
        <v>0</v>
      </c>
      <c r="N23" s="3">
        <v>0</v>
      </c>
      <c r="O23" s="3"/>
    </row>
    <row r="24" spans="1:15" s="8" customFormat="1" ht="252" x14ac:dyDescent="0.25">
      <c r="A24" s="7" t="s">
        <v>83</v>
      </c>
      <c r="B24" s="7" t="s">
        <v>53</v>
      </c>
      <c r="C24" s="7" t="s">
        <v>84</v>
      </c>
      <c r="D24" s="7" t="s">
        <v>85</v>
      </c>
      <c r="E24" s="7">
        <v>0</v>
      </c>
      <c r="F24" s="7">
        <v>1</v>
      </c>
      <c r="G24" s="7">
        <v>1</v>
      </c>
      <c r="H24" s="7">
        <v>0.5</v>
      </c>
      <c r="I24" s="7">
        <v>0</v>
      </c>
      <c r="J24" s="7">
        <v>0.2</v>
      </c>
      <c r="K24" s="7" t="b">
        <v>0</v>
      </c>
      <c r="L24" s="7">
        <v>0</v>
      </c>
      <c r="M24" s="7">
        <v>1</v>
      </c>
      <c r="N24" s="7">
        <v>2</v>
      </c>
      <c r="O24" s="7"/>
    </row>
    <row r="25" spans="1:15" ht="154" x14ac:dyDescent="0.25">
      <c r="A25" s="3" t="s">
        <v>86</v>
      </c>
      <c r="B25" s="3" t="s">
        <v>87</v>
      </c>
      <c r="C25" s="3" t="s">
        <v>88</v>
      </c>
      <c r="D25" s="3" t="s">
        <v>89</v>
      </c>
      <c r="E25" s="3">
        <v>0</v>
      </c>
      <c r="F25" s="3">
        <v>0</v>
      </c>
      <c r="G25" s="3">
        <v>0</v>
      </c>
      <c r="H25" s="3">
        <v>0</v>
      </c>
      <c r="I25" s="6">
        <v>1</v>
      </c>
      <c r="J25" s="3">
        <v>1</v>
      </c>
      <c r="K25" s="3" t="b">
        <v>0</v>
      </c>
      <c r="L25" s="3">
        <v>2</v>
      </c>
      <c r="M25" s="3">
        <v>0</v>
      </c>
      <c r="N25" s="3">
        <v>0</v>
      </c>
      <c r="O25" s="3"/>
    </row>
    <row r="26" spans="1:15" ht="154" x14ac:dyDescent="0.25">
      <c r="A26" s="3" t="s">
        <v>90</v>
      </c>
      <c r="B26" s="3" t="s">
        <v>87</v>
      </c>
      <c r="C26" s="3" t="s">
        <v>91</v>
      </c>
      <c r="D26" s="3" t="s">
        <v>92</v>
      </c>
      <c r="E26" s="3">
        <v>1</v>
      </c>
      <c r="F26" s="3">
        <v>1</v>
      </c>
      <c r="G26" s="3">
        <v>1</v>
      </c>
      <c r="H26" s="3">
        <v>1</v>
      </c>
      <c r="I26" s="6">
        <v>1</v>
      </c>
      <c r="J26" s="3">
        <v>1</v>
      </c>
      <c r="K26" s="3" t="b">
        <v>0</v>
      </c>
      <c r="L26" s="3">
        <v>1</v>
      </c>
      <c r="M26" s="3">
        <v>0</v>
      </c>
      <c r="N26" s="3">
        <v>0</v>
      </c>
      <c r="O26" s="3"/>
    </row>
    <row r="27" spans="1:15" ht="409.5" x14ac:dyDescent="0.25">
      <c r="A27" s="3" t="s">
        <v>93</v>
      </c>
      <c r="B27" s="3" t="s">
        <v>87</v>
      </c>
      <c r="C27" s="3" t="s">
        <v>94</v>
      </c>
      <c r="D27" s="3" t="s">
        <v>95</v>
      </c>
      <c r="E27" s="3">
        <v>0</v>
      </c>
      <c r="F27" s="3">
        <v>0</v>
      </c>
      <c r="G27" s="3">
        <v>1</v>
      </c>
      <c r="H27" s="3">
        <v>0.25</v>
      </c>
      <c r="I27" s="6">
        <v>0.66669999999999996</v>
      </c>
      <c r="J27" s="3">
        <v>0.8</v>
      </c>
      <c r="K27" s="3" t="b">
        <v>0</v>
      </c>
      <c r="L27" s="3">
        <v>2</v>
      </c>
      <c r="M27" s="3">
        <v>1</v>
      </c>
      <c r="N27" s="3">
        <v>0</v>
      </c>
      <c r="O27" s="3"/>
    </row>
    <row r="28" spans="1:15" ht="224" x14ac:dyDescent="0.25">
      <c r="A28" s="3" t="s">
        <v>96</v>
      </c>
      <c r="B28" s="3" t="s">
        <v>87</v>
      </c>
      <c r="C28" s="3" t="s">
        <v>97</v>
      </c>
      <c r="D28" s="3" t="s">
        <v>98</v>
      </c>
      <c r="E28" s="3">
        <v>0</v>
      </c>
      <c r="F28" s="3">
        <v>1</v>
      </c>
      <c r="G28" s="3">
        <v>1</v>
      </c>
      <c r="H28" s="3">
        <v>0.5</v>
      </c>
      <c r="I28" s="6">
        <v>0.66669999999999996</v>
      </c>
      <c r="J28" s="3">
        <v>0.8</v>
      </c>
      <c r="K28" s="3" t="b">
        <v>0</v>
      </c>
      <c r="L28" s="3">
        <v>1</v>
      </c>
      <c r="M28" s="3">
        <v>0</v>
      </c>
      <c r="N28" s="3">
        <v>1</v>
      </c>
      <c r="O28" s="3"/>
    </row>
    <row r="29" spans="1:15" ht="84" x14ac:dyDescent="0.25">
      <c r="A29" s="3" t="s">
        <v>99</v>
      </c>
      <c r="B29" s="3" t="s">
        <v>87</v>
      </c>
      <c r="C29" s="3" t="s">
        <v>100</v>
      </c>
      <c r="D29" s="3" t="s">
        <v>101</v>
      </c>
      <c r="E29" s="3">
        <v>0</v>
      </c>
      <c r="F29" s="3">
        <v>0</v>
      </c>
      <c r="G29" s="3">
        <v>0</v>
      </c>
      <c r="H29" s="3">
        <v>0</v>
      </c>
      <c r="I29" s="6">
        <v>0</v>
      </c>
      <c r="J29" s="3">
        <v>1</v>
      </c>
      <c r="K29" s="3" t="b">
        <v>0</v>
      </c>
      <c r="L29" s="3">
        <v>1</v>
      </c>
      <c r="M29" s="3">
        <v>0</v>
      </c>
      <c r="N29" s="3">
        <v>0</v>
      </c>
      <c r="O29" s="3"/>
    </row>
    <row r="30" spans="1:15" ht="182" x14ac:dyDescent="0.25">
      <c r="A30" s="3" t="s">
        <v>102</v>
      </c>
      <c r="B30" s="3" t="s">
        <v>87</v>
      </c>
      <c r="C30" s="3" t="s">
        <v>103</v>
      </c>
      <c r="D30" s="3" t="s">
        <v>104</v>
      </c>
      <c r="E30" s="3">
        <v>1</v>
      </c>
      <c r="F30" s="3">
        <v>1</v>
      </c>
      <c r="G30" s="3">
        <v>1</v>
      </c>
      <c r="H30" s="3">
        <v>1</v>
      </c>
      <c r="I30" s="6">
        <v>1</v>
      </c>
      <c r="J30" s="3">
        <v>1</v>
      </c>
      <c r="K30" s="3" t="b">
        <v>0</v>
      </c>
      <c r="L30" s="3">
        <v>3</v>
      </c>
      <c r="M30" s="3">
        <v>0</v>
      </c>
      <c r="N30" s="3">
        <v>0</v>
      </c>
      <c r="O30" s="3"/>
    </row>
    <row r="31" spans="1:15" ht="266" x14ac:dyDescent="0.25">
      <c r="A31" s="3" t="s">
        <v>105</v>
      </c>
      <c r="B31" s="3" t="s">
        <v>87</v>
      </c>
      <c r="C31" s="3" t="s">
        <v>106</v>
      </c>
      <c r="D31" s="3" t="s">
        <v>107</v>
      </c>
      <c r="E31" s="3">
        <v>1</v>
      </c>
      <c r="F31" s="3">
        <v>1</v>
      </c>
      <c r="G31" s="3">
        <v>1</v>
      </c>
      <c r="H31" s="3">
        <v>1</v>
      </c>
      <c r="I31" s="6">
        <v>0.66669999999999996</v>
      </c>
      <c r="J31" s="3">
        <v>0.8</v>
      </c>
      <c r="K31" s="3" t="b">
        <v>0</v>
      </c>
      <c r="L31" s="3">
        <v>2</v>
      </c>
      <c r="M31" s="3">
        <v>0</v>
      </c>
      <c r="N31" s="3">
        <v>1</v>
      </c>
      <c r="O31" s="3"/>
    </row>
    <row r="32" spans="1:15" ht="350" x14ac:dyDescent="0.25">
      <c r="A32" s="3" t="s">
        <v>108</v>
      </c>
      <c r="B32" s="3" t="s">
        <v>87</v>
      </c>
      <c r="C32" s="3" t="s">
        <v>109</v>
      </c>
      <c r="D32" s="3" t="s">
        <v>110</v>
      </c>
      <c r="E32" s="3">
        <v>1</v>
      </c>
      <c r="F32" s="3">
        <v>1</v>
      </c>
      <c r="G32" s="3">
        <v>1</v>
      </c>
      <c r="H32" s="3">
        <v>1</v>
      </c>
      <c r="I32" s="6">
        <v>1</v>
      </c>
      <c r="J32" s="3">
        <v>0.8</v>
      </c>
      <c r="K32" s="3" t="b">
        <v>0</v>
      </c>
      <c r="L32" s="3">
        <v>2</v>
      </c>
      <c r="M32" s="3">
        <v>1</v>
      </c>
      <c r="N32" s="3">
        <v>0</v>
      </c>
      <c r="O32" s="3"/>
    </row>
    <row r="33" spans="1:15" ht="294" x14ac:dyDescent="0.25">
      <c r="A33" s="3" t="s">
        <v>111</v>
      </c>
      <c r="B33" s="3" t="s">
        <v>87</v>
      </c>
      <c r="C33" s="3" t="s">
        <v>112</v>
      </c>
      <c r="D33" s="3" t="s">
        <v>113</v>
      </c>
      <c r="E33" s="3">
        <v>0</v>
      </c>
      <c r="F33" s="3">
        <v>1</v>
      </c>
      <c r="G33" s="3">
        <v>1</v>
      </c>
      <c r="H33" s="3">
        <v>0.5</v>
      </c>
      <c r="I33" s="6">
        <v>0.66669999999999996</v>
      </c>
      <c r="J33" s="3">
        <v>1</v>
      </c>
      <c r="K33" s="3" t="b">
        <v>0</v>
      </c>
      <c r="L33" s="3">
        <v>3</v>
      </c>
      <c r="M33" s="3">
        <v>0</v>
      </c>
      <c r="N33" s="3">
        <v>0</v>
      </c>
      <c r="O33" s="3"/>
    </row>
    <row r="34" spans="1:15" ht="182" x14ac:dyDescent="0.25">
      <c r="A34" s="3" t="s">
        <v>114</v>
      </c>
      <c r="B34" s="3" t="s">
        <v>87</v>
      </c>
      <c r="C34" s="3" t="s">
        <v>115</v>
      </c>
      <c r="D34" s="3" t="s">
        <v>116</v>
      </c>
      <c r="E34" s="3">
        <v>1</v>
      </c>
      <c r="F34" s="3">
        <v>1</v>
      </c>
      <c r="G34" s="3">
        <v>1</v>
      </c>
      <c r="H34" s="3">
        <v>1</v>
      </c>
      <c r="I34" s="6">
        <v>1</v>
      </c>
      <c r="J34" s="3">
        <v>1</v>
      </c>
      <c r="K34" s="3" t="b">
        <v>0</v>
      </c>
      <c r="L34" s="3">
        <v>3</v>
      </c>
      <c r="M34" s="3">
        <v>0</v>
      </c>
      <c r="N34" s="3">
        <v>0</v>
      </c>
      <c r="O34" s="3"/>
    </row>
    <row r="35" spans="1:15" ht="168" x14ac:dyDescent="0.25">
      <c r="A35" s="3" t="s">
        <v>117</v>
      </c>
      <c r="B35" s="3" t="s">
        <v>87</v>
      </c>
      <c r="C35" s="3" t="s">
        <v>118</v>
      </c>
      <c r="D35" s="3" t="s">
        <v>119</v>
      </c>
      <c r="E35" s="3">
        <v>0</v>
      </c>
      <c r="F35" s="3">
        <v>0</v>
      </c>
      <c r="G35" s="3">
        <v>0</v>
      </c>
      <c r="H35" s="3">
        <v>0</v>
      </c>
      <c r="I35" s="6">
        <v>0</v>
      </c>
      <c r="J35" s="3">
        <v>0.65</v>
      </c>
      <c r="K35" s="3" t="b">
        <v>0</v>
      </c>
      <c r="L35" s="3">
        <v>1</v>
      </c>
      <c r="M35" s="3">
        <v>0</v>
      </c>
      <c r="N35" s="3">
        <v>2</v>
      </c>
      <c r="O35" s="3"/>
    </row>
    <row r="36" spans="1:15" s="8" customFormat="1" ht="392" x14ac:dyDescent="0.25">
      <c r="A36" s="7" t="s">
        <v>120</v>
      </c>
      <c r="B36" s="7" t="s">
        <v>121</v>
      </c>
      <c r="C36" s="7" t="s">
        <v>122</v>
      </c>
      <c r="D36" s="7" t="s">
        <v>123</v>
      </c>
      <c r="E36" s="7">
        <v>1</v>
      </c>
      <c r="F36" s="7">
        <v>0.5</v>
      </c>
      <c r="G36" s="7">
        <v>0.5</v>
      </c>
      <c r="H36" s="7">
        <v>1</v>
      </c>
      <c r="I36" s="7">
        <v>0</v>
      </c>
      <c r="J36" s="7">
        <v>0.5</v>
      </c>
      <c r="K36" s="7" t="b">
        <v>0</v>
      </c>
      <c r="L36" s="7">
        <v>1</v>
      </c>
      <c r="M36" s="7">
        <v>1</v>
      </c>
      <c r="N36" s="7">
        <v>1</v>
      </c>
      <c r="O36" s="7"/>
    </row>
    <row r="37" spans="1:15" s="8" customFormat="1" ht="336" x14ac:dyDescent="0.25">
      <c r="A37" s="7" t="s">
        <v>124</v>
      </c>
      <c r="B37" s="7" t="s">
        <v>121</v>
      </c>
      <c r="C37" s="7" t="s">
        <v>125</v>
      </c>
      <c r="D37" s="7" t="s">
        <v>126</v>
      </c>
      <c r="E37" s="7">
        <v>1</v>
      </c>
      <c r="F37" s="7">
        <v>0.5</v>
      </c>
      <c r="G37" s="7">
        <v>0.5</v>
      </c>
      <c r="H37" s="7">
        <v>1</v>
      </c>
      <c r="I37" s="7">
        <v>0.5</v>
      </c>
      <c r="J37" s="7">
        <v>0.66700000000000004</v>
      </c>
      <c r="K37" s="7" t="b">
        <v>0</v>
      </c>
      <c r="L37" s="7">
        <v>2</v>
      </c>
      <c r="M37" s="7">
        <v>2</v>
      </c>
      <c r="N37" s="7">
        <v>0</v>
      </c>
      <c r="O37" s="7"/>
    </row>
    <row r="38" spans="1:15" ht="409.5" x14ac:dyDescent="0.25">
      <c r="A38" s="3" t="s">
        <v>127</v>
      </c>
      <c r="B38" s="3" t="s">
        <v>121</v>
      </c>
      <c r="C38" s="3" t="s">
        <v>128</v>
      </c>
      <c r="D38" s="3" t="s">
        <v>129</v>
      </c>
      <c r="E38" s="3">
        <v>1</v>
      </c>
      <c r="F38" s="3">
        <v>0.5</v>
      </c>
      <c r="G38" s="3">
        <v>0.5</v>
      </c>
      <c r="H38" s="3">
        <v>1</v>
      </c>
      <c r="I38" s="6">
        <v>0</v>
      </c>
      <c r="J38" s="3">
        <v>0.7</v>
      </c>
      <c r="K38" s="3" t="b">
        <v>0</v>
      </c>
      <c r="L38" s="3">
        <v>2</v>
      </c>
      <c r="M38" s="3">
        <v>1</v>
      </c>
      <c r="N38" s="3">
        <v>1</v>
      </c>
      <c r="O38" s="3"/>
    </row>
    <row r="39" spans="1:15" ht="409.5" x14ac:dyDescent="0.25">
      <c r="A39" s="3" t="s">
        <v>130</v>
      </c>
      <c r="B39" s="3" t="s">
        <v>121</v>
      </c>
      <c r="C39" s="3" t="s">
        <v>131</v>
      </c>
      <c r="D39" s="3" t="s">
        <v>132</v>
      </c>
      <c r="E39" s="3">
        <v>0</v>
      </c>
      <c r="F39" s="3">
        <v>0.5</v>
      </c>
      <c r="G39" s="3">
        <v>0.5</v>
      </c>
      <c r="H39" s="3">
        <v>0.33333333333333331</v>
      </c>
      <c r="I39" s="6">
        <v>0</v>
      </c>
      <c r="J39" s="3">
        <v>0.8</v>
      </c>
      <c r="K39" s="3" t="b">
        <v>0</v>
      </c>
      <c r="L39" s="3">
        <v>2</v>
      </c>
      <c r="M39" s="3">
        <v>1</v>
      </c>
      <c r="N39" s="3">
        <v>0</v>
      </c>
      <c r="O39" s="3"/>
    </row>
    <row r="40" spans="1:15" ht="336" x14ac:dyDescent="0.25">
      <c r="A40" s="3" t="s">
        <v>133</v>
      </c>
      <c r="B40" s="3" t="s">
        <v>121</v>
      </c>
      <c r="C40" s="3" t="s">
        <v>134</v>
      </c>
      <c r="D40" s="3" t="s">
        <v>135</v>
      </c>
      <c r="E40" s="3">
        <v>0</v>
      </c>
      <c r="F40" s="3">
        <v>1</v>
      </c>
      <c r="G40" s="3">
        <v>1</v>
      </c>
      <c r="H40" s="3">
        <v>0.5</v>
      </c>
      <c r="I40" s="6">
        <v>1</v>
      </c>
      <c r="J40" s="3">
        <v>0.8</v>
      </c>
      <c r="K40" s="3" t="b">
        <v>0</v>
      </c>
      <c r="L40" s="3">
        <v>2</v>
      </c>
      <c r="M40" s="3">
        <v>1</v>
      </c>
      <c r="N40" s="3">
        <v>0</v>
      </c>
      <c r="O40" s="3"/>
    </row>
    <row r="41" spans="1:15" s="8" customFormat="1" ht="252" x14ac:dyDescent="0.25">
      <c r="A41" s="7" t="s">
        <v>136</v>
      </c>
      <c r="B41" s="7" t="s">
        <v>121</v>
      </c>
      <c r="C41" s="7" t="s">
        <v>137</v>
      </c>
      <c r="D41" s="7" t="s">
        <v>61</v>
      </c>
      <c r="E41" s="7">
        <v>1</v>
      </c>
      <c r="F41" s="7">
        <v>0.5</v>
      </c>
      <c r="G41" s="7">
        <v>0.5</v>
      </c>
      <c r="H41" s="7">
        <v>1</v>
      </c>
      <c r="I41" s="7">
        <v>0</v>
      </c>
      <c r="J41" s="7">
        <v>0</v>
      </c>
      <c r="K41" s="7" t="b">
        <v>0</v>
      </c>
      <c r="L41" s="7">
        <v>0</v>
      </c>
      <c r="M41" s="7">
        <v>0</v>
      </c>
      <c r="N41" s="7">
        <v>1</v>
      </c>
      <c r="O41" s="7"/>
    </row>
    <row r="42" spans="1:15" s="8" customFormat="1" ht="182" x14ac:dyDescent="0.25">
      <c r="A42" s="7" t="s">
        <v>138</v>
      </c>
      <c r="B42" s="7" t="s">
        <v>121</v>
      </c>
      <c r="C42" s="7" t="s">
        <v>139</v>
      </c>
      <c r="D42" s="7" t="s">
        <v>61</v>
      </c>
      <c r="E42" s="7">
        <v>1</v>
      </c>
      <c r="F42" s="7">
        <v>0.5</v>
      </c>
      <c r="G42" s="7">
        <v>0.5</v>
      </c>
      <c r="H42" s="7">
        <v>1</v>
      </c>
      <c r="I42" s="7">
        <v>0</v>
      </c>
      <c r="J42" s="7">
        <v>0</v>
      </c>
      <c r="K42" s="7" t="b">
        <v>0</v>
      </c>
      <c r="L42" s="7">
        <v>0</v>
      </c>
      <c r="M42" s="7">
        <v>0</v>
      </c>
      <c r="N42" s="7">
        <v>2</v>
      </c>
      <c r="O42" s="7"/>
    </row>
    <row r="43" spans="1:15" ht="364" x14ac:dyDescent="0.25">
      <c r="A43" s="3" t="s">
        <v>159</v>
      </c>
      <c r="B43" s="3" t="s">
        <v>121</v>
      </c>
      <c r="C43" s="3" t="s">
        <v>140</v>
      </c>
      <c r="D43" s="9" t="s">
        <v>158</v>
      </c>
      <c r="E43" s="3">
        <v>1</v>
      </c>
      <c r="F43" s="3">
        <v>1</v>
      </c>
      <c r="G43" s="3">
        <v>1</v>
      </c>
      <c r="H43" s="3">
        <v>1</v>
      </c>
      <c r="I43" s="6">
        <v>1</v>
      </c>
      <c r="J43" s="3">
        <v>1</v>
      </c>
      <c r="K43" s="3" t="b">
        <v>0</v>
      </c>
      <c r="L43" s="3">
        <v>1</v>
      </c>
      <c r="M43" s="3">
        <v>1</v>
      </c>
      <c r="N43" s="3">
        <v>1</v>
      </c>
      <c r="O43" s="3"/>
    </row>
    <row r="44" spans="1:15" ht="42" x14ac:dyDescent="0.25">
      <c r="A44" s="3" t="s">
        <v>141</v>
      </c>
      <c r="B44" s="3" t="s">
        <v>142</v>
      </c>
      <c r="C44" s="3" t="s">
        <v>143</v>
      </c>
      <c r="D44" s="3" t="s">
        <v>61</v>
      </c>
      <c r="E44" s="3"/>
      <c r="F44" s="3"/>
      <c r="G44" s="3"/>
      <c r="H44" s="3"/>
      <c r="I44" s="6"/>
      <c r="J44" s="3">
        <v>1</v>
      </c>
      <c r="K44" s="3" t="b">
        <v>1</v>
      </c>
      <c r="L44" s="3">
        <v>1</v>
      </c>
      <c r="M44" s="3">
        <v>0</v>
      </c>
      <c r="N44" s="3">
        <v>0</v>
      </c>
      <c r="O44" s="3">
        <v>1</v>
      </c>
    </row>
    <row r="45" spans="1:15" ht="56" x14ac:dyDescent="0.25">
      <c r="A45" s="3" t="s">
        <v>144</v>
      </c>
      <c r="B45" s="3" t="s">
        <v>142</v>
      </c>
      <c r="C45" s="3" t="s">
        <v>143</v>
      </c>
      <c r="D45" s="3" t="s">
        <v>157</v>
      </c>
      <c r="E45" s="3"/>
      <c r="F45" s="3"/>
      <c r="G45" s="3"/>
      <c r="H45" s="3"/>
      <c r="I45" s="6"/>
      <c r="J45" s="3">
        <v>1</v>
      </c>
      <c r="K45" s="3" t="b">
        <v>1</v>
      </c>
      <c r="L45" s="3">
        <v>1</v>
      </c>
      <c r="M45" s="3">
        <v>0</v>
      </c>
      <c r="N45" s="3">
        <v>0</v>
      </c>
      <c r="O45" s="3">
        <v>1</v>
      </c>
    </row>
    <row r="46" spans="1:15" ht="28" x14ac:dyDescent="0.25">
      <c r="A46" s="3" t="s">
        <v>156</v>
      </c>
      <c r="B46" s="3" t="s">
        <v>142</v>
      </c>
      <c r="C46" s="3" t="s">
        <v>143</v>
      </c>
      <c r="D46" s="3" t="s">
        <v>157</v>
      </c>
      <c r="E46" s="3"/>
      <c r="F46" s="3"/>
      <c r="G46" s="3"/>
      <c r="H46" s="3"/>
      <c r="I46" s="6"/>
      <c r="J46" s="3">
        <v>1</v>
      </c>
      <c r="K46" s="3" t="b">
        <v>1</v>
      </c>
      <c r="L46" s="3">
        <v>0</v>
      </c>
      <c r="M46" s="3">
        <v>1</v>
      </c>
      <c r="N46" s="3">
        <v>0</v>
      </c>
      <c r="O46" s="3">
        <v>0</v>
      </c>
    </row>
    <row r="47" spans="1:15" ht="70" x14ac:dyDescent="0.25">
      <c r="A47" s="3" t="s">
        <v>145</v>
      </c>
      <c r="B47" s="3" t="s">
        <v>142</v>
      </c>
      <c r="C47" s="3" t="s">
        <v>143</v>
      </c>
      <c r="D47" s="3" t="s">
        <v>61</v>
      </c>
      <c r="E47" s="3"/>
      <c r="F47" s="3"/>
      <c r="G47" s="3"/>
      <c r="H47" s="3"/>
      <c r="I47" s="6"/>
      <c r="J47" s="3">
        <v>1</v>
      </c>
      <c r="K47" s="3" t="b">
        <v>1</v>
      </c>
      <c r="L47" s="3">
        <v>1</v>
      </c>
      <c r="M47" s="3">
        <v>0</v>
      </c>
      <c r="N47" s="3">
        <v>0</v>
      </c>
      <c r="O47" s="3">
        <v>1</v>
      </c>
    </row>
    <row r="48" spans="1:15" ht="42" x14ac:dyDescent="0.25">
      <c r="A48" s="3" t="s">
        <v>146</v>
      </c>
      <c r="B48" s="3" t="s">
        <v>142</v>
      </c>
      <c r="C48" s="3" t="s">
        <v>143</v>
      </c>
      <c r="D48" s="3" t="s">
        <v>61</v>
      </c>
      <c r="E48" s="3"/>
      <c r="F48" s="3"/>
      <c r="G48" s="3"/>
      <c r="H48" s="3"/>
      <c r="I48" s="6"/>
      <c r="J48" s="3">
        <v>1</v>
      </c>
      <c r="K48" s="3" t="b">
        <v>1</v>
      </c>
      <c r="L48" s="3">
        <v>1</v>
      </c>
      <c r="M48" s="3">
        <v>0</v>
      </c>
      <c r="N48" s="3">
        <v>0</v>
      </c>
      <c r="O48" s="3">
        <v>1</v>
      </c>
    </row>
    <row r="49" spans="1:15" ht="42" x14ac:dyDescent="0.25">
      <c r="A49" s="3" t="s">
        <v>147</v>
      </c>
      <c r="B49" s="3" t="s">
        <v>142</v>
      </c>
      <c r="C49" s="3" t="s">
        <v>143</v>
      </c>
      <c r="D49" s="3" t="s">
        <v>61</v>
      </c>
      <c r="E49" s="3"/>
      <c r="F49" s="3"/>
      <c r="G49" s="3"/>
      <c r="H49" s="3"/>
      <c r="I49" s="6"/>
      <c r="J49" s="3">
        <v>1</v>
      </c>
      <c r="K49" s="3" t="b">
        <v>1</v>
      </c>
      <c r="L49" s="3">
        <v>1</v>
      </c>
      <c r="M49" s="3">
        <v>0</v>
      </c>
      <c r="N49" s="3">
        <v>0</v>
      </c>
      <c r="O49" s="3">
        <v>1</v>
      </c>
    </row>
    <row r="50" spans="1:15" ht="42" x14ac:dyDescent="0.25">
      <c r="A50" s="3" t="s">
        <v>148</v>
      </c>
      <c r="B50" s="3" t="s">
        <v>142</v>
      </c>
      <c r="C50" s="3" t="s">
        <v>143</v>
      </c>
      <c r="D50" s="3" t="s">
        <v>61</v>
      </c>
      <c r="E50" s="3"/>
      <c r="F50" s="3"/>
      <c r="G50" s="3"/>
      <c r="H50" s="3"/>
      <c r="I50" s="6"/>
      <c r="J50" s="3">
        <v>1</v>
      </c>
      <c r="K50" s="3" t="b">
        <v>1</v>
      </c>
      <c r="L50" s="3">
        <v>1</v>
      </c>
      <c r="M50" s="3">
        <v>0</v>
      </c>
      <c r="N50" s="3">
        <v>0</v>
      </c>
      <c r="O50" s="3">
        <v>1</v>
      </c>
    </row>
    <row r="51" spans="1:15" ht="42" x14ac:dyDescent="0.25">
      <c r="A51" s="3" t="s">
        <v>149</v>
      </c>
      <c r="B51" s="3" t="s">
        <v>142</v>
      </c>
      <c r="C51" s="3" t="s">
        <v>143</v>
      </c>
      <c r="D51" s="3" t="s">
        <v>61</v>
      </c>
      <c r="E51" s="3"/>
      <c r="F51" s="3"/>
      <c r="G51" s="3"/>
      <c r="H51" s="3"/>
      <c r="I51" s="6"/>
      <c r="J51" s="3">
        <v>1</v>
      </c>
      <c r="K51" s="3" t="b">
        <v>1</v>
      </c>
      <c r="L51" s="3">
        <v>1</v>
      </c>
      <c r="M51" s="3">
        <v>0</v>
      </c>
      <c r="N51" s="3">
        <v>0</v>
      </c>
      <c r="O51" s="3">
        <v>1</v>
      </c>
    </row>
    <row r="52" spans="1:15" x14ac:dyDescent="0.25">
      <c r="A52" s="3" t="s">
        <v>150</v>
      </c>
      <c r="B52" s="3"/>
      <c r="C52" s="3"/>
      <c r="D52" s="3"/>
      <c r="E52" s="6">
        <f t="shared" ref="E52:H52" si="0">AVERAGE(E2:E43)</f>
        <v>0.6071428571428571</v>
      </c>
      <c r="F52" s="6">
        <f t="shared" si="0"/>
        <v>0.6785714285714286</v>
      </c>
      <c r="G52" s="6">
        <f t="shared" si="0"/>
        <v>0.70238095238095233</v>
      </c>
      <c r="H52" s="6">
        <f t="shared" si="0"/>
        <v>0.69246031746031744</v>
      </c>
      <c r="I52" s="6">
        <f>AVERAGE(I2:I43)</f>
        <v>0.56746666666666656</v>
      </c>
      <c r="J52" s="3">
        <f>AVERAGE(J2:J51)</f>
        <v>0.81035999999999997</v>
      </c>
      <c r="K52" s="3" t="b">
        <v>0</v>
      </c>
      <c r="L52" s="3">
        <v>1.72</v>
      </c>
      <c r="M52" s="3">
        <v>0.3</v>
      </c>
      <c r="N52" s="3">
        <v>0.36</v>
      </c>
      <c r="O52" s="3"/>
    </row>
    <row r="53" spans="1:15" x14ac:dyDescent="0.25">
      <c r="A53" s="3" t="s">
        <v>151</v>
      </c>
      <c r="B53" s="3" t="s">
        <v>16</v>
      </c>
      <c r="C53" s="3"/>
      <c r="D53" s="3"/>
      <c r="E53" s="6">
        <f t="shared" ref="E53:H53" si="1">AVERAGE(E2:E13)</f>
        <v>0.75</v>
      </c>
      <c r="F53" s="6">
        <f t="shared" si="1"/>
        <v>0.83333333333333337</v>
      </c>
      <c r="G53" s="6">
        <f t="shared" si="1"/>
        <v>0.83333333333333337</v>
      </c>
      <c r="H53" s="6">
        <f t="shared" si="1"/>
        <v>0.79166666666666663</v>
      </c>
      <c r="I53" s="6">
        <f>AVERAGE(I2:I13)</f>
        <v>0.69445000000000012</v>
      </c>
      <c r="J53" s="6">
        <f>AVERAGE(J2:J13)</f>
        <v>0.89449999999999985</v>
      </c>
      <c r="K53" s="3" t="b">
        <v>0</v>
      </c>
      <c r="L53" s="3">
        <v>2.333333333333333</v>
      </c>
      <c r="M53" s="3">
        <v>0.16666666666666671</v>
      </c>
      <c r="N53" s="3">
        <v>0.25</v>
      </c>
      <c r="O53" s="3"/>
    </row>
    <row r="54" spans="1:15" x14ac:dyDescent="0.25">
      <c r="A54" s="3" t="s">
        <v>152</v>
      </c>
      <c r="B54" s="3" t="s">
        <v>53</v>
      </c>
      <c r="C54" s="3"/>
      <c r="D54" s="3"/>
      <c r="E54" s="6">
        <f t="shared" ref="E54:H54" si="2">AVERAGE(E14:E24)</f>
        <v>0.5</v>
      </c>
      <c r="F54" s="6">
        <f t="shared" si="2"/>
        <v>0.59090909090909094</v>
      </c>
      <c r="G54" s="6">
        <f t="shared" si="2"/>
        <v>0.59090909090909094</v>
      </c>
      <c r="H54" s="6">
        <f t="shared" si="2"/>
        <v>0.59090909090909094</v>
      </c>
      <c r="I54" s="6">
        <f>AVERAGE(I14:I24)</f>
        <v>0.48485454545454548</v>
      </c>
      <c r="J54" s="6">
        <f>AVERAGE(J14:J24)</f>
        <v>0.67881818181818188</v>
      </c>
      <c r="K54" s="3" t="b">
        <v>0</v>
      </c>
      <c r="L54" s="3">
        <v>1.8181818181818179</v>
      </c>
      <c r="M54" s="3">
        <v>0.27272727272727271</v>
      </c>
      <c r="N54" s="3">
        <v>0.45454545454545447</v>
      </c>
      <c r="O54" s="3"/>
    </row>
    <row r="55" spans="1:15" x14ac:dyDescent="0.25">
      <c r="A55" s="3" t="s">
        <v>153</v>
      </c>
      <c r="B55" s="3" t="s">
        <v>87</v>
      </c>
      <c r="C55" s="3"/>
      <c r="D55" s="3"/>
      <c r="E55" s="6">
        <f t="shared" ref="E55:H55" si="3">AVERAGE(E25:E35)</f>
        <v>0.45454545454545453</v>
      </c>
      <c r="F55" s="6">
        <f t="shared" si="3"/>
        <v>0.63636363636363635</v>
      </c>
      <c r="G55" s="6">
        <f t="shared" si="3"/>
        <v>0.72727272727272729</v>
      </c>
      <c r="H55" s="6">
        <f t="shared" si="3"/>
        <v>0.56818181818181823</v>
      </c>
      <c r="I55" s="6">
        <f>AVERAGE(I25:I35)</f>
        <v>0.69698181818181815</v>
      </c>
      <c r="J55" s="6">
        <f>AVERAGE(J25:J35)</f>
        <v>0.89545454545454539</v>
      </c>
      <c r="K55" s="3" t="b">
        <v>0</v>
      </c>
      <c r="L55" s="3">
        <v>1.9090909090909089</v>
      </c>
      <c r="M55" s="3">
        <v>0.1818181818181818</v>
      </c>
      <c r="N55" s="3">
        <v>0.36363636363636359</v>
      </c>
      <c r="O55" s="3"/>
    </row>
    <row r="56" spans="1:15" x14ac:dyDescent="0.25">
      <c r="A56" s="3" t="s">
        <v>154</v>
      </c>
      <c r="B56" s="3" t="s">
        <v>121</v>
      </c>
      <c r="C56" s="3"/>
      <c r="D56" s="3"/>
      <c r="E56" s="6">
        <f t="shared" ref="E56:H56" si="4">AVERAGE(E36:E43)</f>
        <v>0.75</v>
      </c>
      <c r="F56" s="6">
        <f t="shared" si="4"/>
        <v>0.625</v>
      </c>
      <c r="G56" s="6">
        <f t="shared" si="4"/>
        <v>0.625</v>
      </c>
      <c r="H56" s="6">
        <f t="shared" si="4"/>
        <v>0.85416666666666674</v>
      </c>
      <c r="I56" s="6">
        <f>AVERAGE(I36:I43)</f>
        <v>0.3125</v>
      </c>
      <c r="J56" s="6">
        <f>AVERAGE(J36:J43)</f>
        <v>0.55837499999999995</v>
      </c>
      <c r="K56" s="3" t="b">
        <v>0</v>
      </c>
      <c r="L56" s="3">
        <v>1.25</v>
      </c>
      <c r="M56" s="3">
        <v>0.875</v>
      </c>
      <c r="N56" s="3">
        <v>0.75</v>
      </c>
      <c r="O56" s="3"/>
    </row>
    <row r="57" spans="1:15" x14ac:dyDescent="0.25">
      <c r="A57" s="3" t="s">
        <v>155</v>
      </c>
      <c r="B57" s="3" t="s">
        <v>142</v>
      </c>
      <c r="C57" s="3"/>
      <c r="D57" s="3"/>
      <c r="E57" s="3"/>
      <c r="F57" s="3"/>
      <c r="G57" s="3"/>
      <c r="H57" s="3"/>
      <c r="I57" s="6"/>
      <c r="J57" s="3">
        <v>1</v>
      </c>
      <c r="K57" s="3" t="b">
        <v>0</v>
      </c>
      <c r="L57" s="3">
        <v>0.875</v>
      </c>
      <c r="M57" s="3">
        <v>0.125</v>
      </c>
      <c r="N57" s="3">
        <v>0</v>
      </c>
      <c r="O57" s="3"/>
    </row>
    <row r="58" spans="1:15" ht="70" x14ac:dyDescent="0.25">
      <c r="A58" s="1" t="s">
        <v>160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2026-05-28T11:32:58Z</dcterms:created>
  <dcterms:modified xsi:type="dcterms:W3CDTF">2026-05-28T13:04:20Z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0017c2de-82f3-4f6c-b188-dce0878ed836</vt:lpwstr>
  </property>
</Properties>
</file>