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rag_project\code\"/>
    </mc:Choice>
  </mc:AlternateContent>
  <xr:revisionPtr revIDLastSave="0" documentId="13_ncr:1_{190295B1-EE5E-4462-8DE2-A7D2A086B316}"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8" i="1" l="1"/>
  <c r="M58" i="1"/>
  <c r="L58" i="1"/>
  <c r="J58" i="1"/>
  <c r="I58" i="1"/>
  <c r="H58" i="1"/>
  <c r="G58" i="1"/>
  <c r="F58" i="1"/>
  <c r="E58" i="1"/>
  <c r="N57" i="1"/>
  <c r="M57" i="1"/>
  <c r="L57" i="1"/>
  <c r="J57" i="1"/>
  <c r="I57" i="1"/>
  <c r="H57" i="1"/>
  <c r="G57" i="1"/>
  <c r="F57" i="1"/>
  <c r="E57" i="1"/>
  <c r="N56" i="1"/>
  <c r="M56" i="1"/>
  <c r="L56" i="1"/>
  <c r="J56" i="1"/>
  <c r="I56" i="1"/>
  <c r="H56" i="1"/>
  <c r="G56" i="1"/>
  <c r="F56" i="1"/>
  <c r="E56" i="1"/>
  <c r="N55" i="1"/>
  <c r="M55" i="1"/>
  <c r="L55" i="1"/>
  <c r="J55" i="1"/>
  <c r="I55" i="1"/>
  <c r="H55" i="1"/>
  <c r="G55" i="1"/>
  <c r="F55" i="1"/>
  <c r="E55" i="1"/>
  <c r="N54" i="1"/>
  <c r="M54" i="1"/>
  <c r="L54" i="1"/>
  <c r="J54" i="1"/>
  <c r="I54" i="1"/>
  <c r="H54" i="1"/>
  <c r="G54" i="1"/>
  <c r="F54" i="1"/>
  <c r="E54" i="1"/>
  <c r="N53" i="1"/>
  <c r="M53" i="1"/>
  <c r="L53" i="1"/>
  <c r="J53" i="1"/>
  <c r="I53" i="1"/>
  <c r="H53" i="1"/>
  <c r="G53" i="1"/>
  <c r="F53" i="1"/>
  <c r="E53" i="1"/>
</calcChain>
</file>

<file path=xl/sharedStrings.xml><?xml version="1.0" encoding="utf-8"?>
<sst xmlns="http://schemas.openxmlformats.org/spreadsheetml/2006/main" count="226" uniqueCount="163">
  <si>
    <t>question</t>
  </si>
  <si>
    <t>question_type</t>
  </si>
  <si>
    <t>gold_answer</t>
  </si>
  <si>
    <t>predicted_answer</t>
  </si>
  <si>
    <t>recall_at_1</t>
  </si>
  <si>
    <t>recall_at_3</t>
  </si>
  <si>
    <t>recall_at_5</t>
  </si>
  <si>
    <t>mrr</t>
  </si>
  <si>
    <t>citation_accuracy</t>
  </si>
  <si>
    <t>answer_correctness</t>
  </si>
  <si>
    <t>is_unanswerable</t>
  </si>
  <si>
    <t>tp</t>
  </si>
  <si>
    <t>fp</t>
  </si>
  <si>
    <t>fn</t>
  </si>
  <si>
    <t>is_correct_refusal</t>
  </si>
  <si>
    <t>在论文"A Survey of Post-Training Scaling in Large Language Models"中，作者将post-training scaling分为哪三个主要方法？</t>
  </si>
  <si>
    <t>定义类</t>
  </si>
  <si>
    <t>作者将post-training scaling分为三个主要方法：Supervised Fine-tuning (SFT), Reinforcement Learning (RLxF), and Test-time Compute (TTC).</t>
  </si>
  <si>
    <t>在SafeRAG中"silver noise"的定义是什么？</t>
  </si>
  <si>
    <t>首先，我们定义了“银色噪声”，它指的是仅部分包含答案的证据文本。此类噪声能够绕过大多数安全过滤机制，从而削弱 RAG 的多样性。</t>
  </si>
  <si>
    <t>Silver noise 是指包含部分但不完整答案的噪声。
来自: [2025.acl-long.230_SafeRAG, 第4页, 2025.acl-long.230_SafeRAG_chunk_009]</t>
  </si>
  <si>
    <t>RAG噪声被分为哪两类？</t>
  </si>
  <si>
    <t>RAG噪声被分为有益噪声和有害噪声。</t>
  </si>
  <si>
    <t>RAG噪声被分为有益噪声和有害噪声两类。
来自: [2025.acl-long.250_Pandora s Box or Aladdin s Lamp, 第2页, 2025.acl-long.250_Pandora s Box or Aladdin s Lamp_chunk_005]</t>
  </si>
  <si>
    <t>什么是Ref-Long基准？它评估的是长上下文语言模型的什么能力？</t>
  </si>
  <si>
    <t>Ref-Long是一个专门设计用于评估长上下文语言模型（LCLMs）长上下文引用能力的基准。它要求LCLMs不仅要在给定文档中识别特定关键词，还要找出引用该关键词的文档索引，而不是其他相关但不匹配的文档。</t>
  </si>
  <si>
    <t>Ref-Long是一个用于评估长上下文语言模型（LCLMs）的长上下文引用能力的基准，它要求模型识别引用特定键的文档索引。
来自: [2025.acl-long.1162_Ref-Long, 第1页, 2025.acl-long.1162_Ref-Long_chunk_000]</t>
  </si>
  <si>
    <t xml:space="preserve"> 什么是SYNQA方法？</t>
  </si>
  <si>
    <t>SYNQA 是一种生成式上下文归因数据合成方法。核心思路是：给定选定的上下文句子，由大语言模型（LLM）生成完全受这些句子支持的问题-答案对（QA对）。该方法能够产生反映真实世界多样化问答场景的训练数据，帮助模型学习稳健的归因能力。SYNQA 同时生成以实体为中心和以对话为中心的样本，从而提升模型在不同上下文和领域的泛化能力。</t>
  </si>
  <si>
    <t>SYNQA是一种生成式方法，通过给定选定的上下文句子，让大语言模型生成完全由这些句子支持的问答对，从而合成上下文归因数据。
来自: [2025.acl-long.828_On Synthesizing Data for Context Attribution in Question Answering, 第2页, 2025.acl-long.828_On Synthesizing Data for Context Attribution in Question Answering_chunk_004]</t>
  </si>
  <si>
    <t>什么是Agentic Long-Context Understanding (AgenticLU)框架？</t>
  </si>
  <si>
    <t xml:space="preserve">Agentic Long-Context Understanding (AgenticLU) 是一个旨在增强大语言模型（LLM）对长上下文查询理解能力的框架。其核心是链式澄清（Chain-of-Clarifications, CoC）：模型通过自生成澄清问题、从长上下文中检索相关信息，并基于收集到的证据回答自己的澄清问题，从而动态地精炼推理和理解。
</t>
  </si>
  <si>
    <t>AgenticLU是一个通过集成目标自我澄清与上下文接地在代理工作流中来增强大语言模型对长上下文查询理解的框架。
来自: [2025.acl-long.275_Self-Taught Agentic Long Context Understanding, 第1页, 2025.acl-long.275_Self-Taught Agentic Long Context Understanding_chunk_000]</t>
  </si>
  <si>
    <t>什么是Agentic Reasoning框架?</t>
  </si>
  <si>
    <t>Agentic Reasoning是一个通过集成外部工具使用代理来增强大型语言模型推理的框架。</t>
  </si>
  <si>
    <t>Agentic Reasoning是一个通过集成外部基于LLM的代理作为工具来增强推理的框架，允许LLM在推理过程中将特定任务委派给辅助代理。
来自: [2025.acl-long.1383_Agentic Reasoning, 第2页, 2025.acl-long.1383_Agentic Reasoning_chunk_003]</t>
  </si>
  <si>
    <t>REAL-MM-RAG 基准测试旨在解决现实世界检索的四个关键属性是什么？</t>
  </si>
  <si>
    <t xml:space="preserve"> REAL-MM-RAG基准测试的四个关键属性是：(i) 多模态文档，(ii) 增强的难度，(iii) 真实的RAG查询，(iv) 准确的标注。</t>
  </si>
  <si>
    <t>REAL-MM-RAG 基准测试旨在解决的四个关键属性是：(i) 多模态文档，(ii) 增强难度，(iii) 真实 RAG 查询，以及 (iv) 准确标注。
来自: [2025.acl-long.1528_REAL-MM-RAG, 第1页, 2025.acl-long.1528_REAL-MM-RAG_chunk_000]</t>
  </si>
  <si>
    <t>ASTUTE RAG的定义是什么？有什么用?</t>
  </si>
  <si>
    <t>为了使大语言模型对不完美的检索结果更具鲁棒性，我们提出了 ASTUTE RAG，这是一种新颖的检索增强生成方法。该方法能够自适应地从大语言模型的内部知识中提取关键信息，在感知信息来源的基础上迭代整合内外部知识，并根据信息的可靠性最终生成答案。</t>
  </si>
  <si>
    <t>ASTUTE RAG是一种新颖的RAG方法，旨在对不完美的检索增强具有鲁棒性，同时保留检索可靠时的RAG grounding效果；它通过区分LLM内部知识与外部检索段落中的一致和冲突信息、评估可靠性并整合可信信息，来更好地利用集体知识，产生更可靠准确的回答，解决知识冲突并克服不完美检索的影响。
来自: [2025.acl-long.1476_Astute RAG, 第2页, 2025.acl-long.1476_Astute RAG_chunk_004] [2025.acl-long.1476_Astute RAG, 第5页, 2025.acl-long.1476_Astute RAG_chunk_009]</t>
  </si>
  <si>
    <t>L-CiteEval的定义是什么？</t>
  </si>
  <si>
    <t>L-CiteEval是一个开箱即用的评估套件，用于评估长上下文模型（LCMs）的生成质量和保真度。它包含两个关键组件：（1）一个涵盖5大任务类别和11个多样化长上下文任务的综合基准测试，上下文长度从8K到48K；（2）相应的自动评估指标和验证流程，以确保稳健可靠的评估。该套件要求模型生成陈述及其支持证据（引用），从而能够有效区分不同模型在保真度方面的差异。</t>
  </si>
  <si>
    <t>L-CiteEval是一个开箱即用的评估套件，用于评估长上下文理解任务中的生成质量和忠实度。
来自: [2025.acl-long.263_L-CiteEval, 第1页, 2025.acl-long.263_L-CiteEval_chunk_000]</t>
  </si>
  <si>
    <t xml:space="preserve"> LongBench v2基准测试包含多少个问题？上下文长度范围是多少？</t>
  </si>
  <si>
    <t>LongBench v2包含503个具有挑战性的多项选择题，上下文长度范围从8,000到200万个单词。</t>
  </si>
  <si>
    <t>LongBench v2包含503个多项选择题，上下文长度范围为8k到2M词。
来自: [2025.acl-long.183_LongBench v2, 第1页, 2025.acl-long.183_LongBench v2_chunk_002]</t>
  </si>
  <si>
    <t>RHIO框架的三个主要组成部分是什么？</t>
  </si>
  <si>
    <t>RHIO框架包含三个主要组件：1.不忠实数据增强, 2.忠实度感知调优, 3.自诱导解码</t>
  </si>
  <si>
    <t>RHIO框架的三个主要组成部分是：非忠实数据增强（Unfaithful Data Augmentation）、忠实感知调优（Faithfulness-Aware Tuning）和自诱导解码（Self-Induced Decoding）。
来自: [2025.acl-long.826_Improving Contextual Faithfulness of Large Language Models via Retrieval Heads-Induced Optimization, 第15页, 2025.acl-long.826_Improving Contextual Faithfulness of Large Language Models via Retrieval Heads-Induced Optimization_chunk_030]</t>
  </si>
  <si>
    <t>在How to Train Long-Context Language Models中的监督微调（SFT）阶段，论文作者发现使用哪种类型的数据集能够在长上下文任务上取得最佳性能？</t>
  </si>
  <si>
    <t>方法细节类</t>
  </si>
  <si>
    <t>作者发现，仅使用标准的、短上下文的指令数据集（如 UltraChat）进行微调，就能在长上下文任务上取得最佳效果。</t>
  </si>
  <si>
    <t>在监督微调阶段，论文作者发现使用标准的短上下文指令数据集（standard, short-context instruction datasets）能够在长上下文任务上取得最佳性能，而长合成指令数据并没有进一步提升性能。
来自: [2025.acl-long.366_How to Train Long-Context Language Models (Effectively), 第1页, 2025.acl-long.366_How to Train Long-Context Language Models (Effectively)_chunk_002]</t>
  </si>
  <si>
    <t>在"Astute RAG"中，作者提出的knowledge consolidation过程包含哪三个主要步骤？</t>
  </si>
  <si>
    <t>Knowledge Consolidation（知识整合）过程包含以下三个主要步骤：
合并一致信息：将来源不同但内容相符的信息进行聚合与确认。
识别冲突信息：检测并标记不同来源之间存在矛盾或不一致的内容。
过滤无关信息：剔除与当前查询或任务不相关的冗余内容。</t>
  </si>
  <si>
    <t>knowledge consolidation过程包含三个主要步骤：识别跨段落的一致信息、检测一致信息组之间的冲突信息、过滤无关信息。
来自: [2025.acl-long.1476_Astute RAG, 第5页, 2025.acl-long.1476_Astute RAG_chunk_011]</t>
  </si>
  <si>
    <t>LongRefiner 在推理时如何降低在线延迟？</t>
  </si>
  <si>
    <t>将推理分为离线阶段和在线阶段。离线阶段完成文档结构化任务，在线阶段仅处理用户查询分析和自适应精炼（输入输出仅数百个 tokens），整体延迟约为标准设置的 25%。</t>
  </si>
  <si>
    <t>LongRefiner 将推理过程拆分为离线与在线两个阶段：离线阶段预先对语料库中的文档执行层次化结构任务，在线阶段仅需分析用户查询并进行自适应精炼，最终输出。由于在线阶段只处理数百个输入 token 并生成数十个输出 token，整体延迟仅为标准设置的约 25%。
来自: [2025.acl-long.176_Hierarchical Document Refinement for Long-context Retrieval-augmented Generation, 第6页, 2025.acl-long.176_Hierarchical Document Refinement for Long-context Retrieval-augmented Generation_chunk_013]</t>
  </si>
  <si>
    <t>DRAG框架如何保护用户隐私？请描述其隐私保护机制。</t>
  </si>
  <si>
    <t>DRAG通过传输去标识化的查询和结构化知识而不是完整响应来保护用户隐私。这样可以避免传输完整的用户查询和敏感信息。</t>
  </si>
  <si>
    <t>DRAG框架通过本地小模型先对用户查询进行改写，剥离其中的敏感信息，再将脱敏后的查询发送给云端大模型；云端大模型仅返回相关证据和知识图谱，而不直接生成答案；最终由本地小模型基于这些结构化知识完成回答，从而在利用云端大模型能力的同时保护用户隐私数据不被泄露。
来自: [2025.acl-long.358_DRAG, 第5页, 2025.acl-long.358_DRAG_chunk_010]</t>
  </si>
  <si>
    <t>简述 Think&amp; Cite 框架中 SG-MCTS 的工作流程及其步骤。</t>
  </si>
  <si>
    <t>SG-MCTS利用LLMs的自反思能力来推理MCTS的中间状态，以指导树扩展过程。在每次迭代中，SG-MCTS 遵循四个步骤，即选择、反思引导的扩展、评估和反向传播。</t>
  </si>
  <si>
    <t>SG-MCTS 将归因文本生成建模为多步推理问题，通过迭代执行四个阶段来构建搜索树：**选择**阶段利用 UCT 算法从树中选出最优节点；**反思引导的扩展**阶段基于 LLM 的自我反思能力对中间状态进行实时批评与修正，生成下一句并附上引用，形成新节点；**评估**阶段使用进度奖励模型（PRM）从生成进度和归因进度两方面计算新节点的奖励；**反向传播**阶段将奖励沿路径回传以更新节点统计信息。这一流程通过反思机制主动规避错误路径，提升搜索质量。
来自: [2025.acl-long.490_Think&amp;Cite, 第3页, 2025.acl-long.490_Think&amp;Cite_chunk_006] 和 [2025.acl-long.490_Think&amp;Cite, 第4页, 2025.acl-long.490_Think&amp;Cite_chunk_008]</t>
  </si>
  <si>
    <t>SETR 的段落选择提示（Passage Selection Prompt）所引导的关键过程包含哪三个具体步骤？每个步骤的核心任务是什么？</t>
  </si>
  <si>
    <t>该关键过程包含以下三个步骤及其核心任务：
枚举关键信息需求： 核心任务是列出回答当前问题所必需的关键信息点；
识别相关段落： 核心任务是针对每一个已枚举的信息需求，找出包含相关信息的段落；
选择最优段落子集： 核心任务是从候选段落中挑选出一个子集，使其在整体上能提供最全面且多样化的信息覆盖，从而有效回答查询。</t>
  </si>
  <si>
    <t>SETR 的段落选择提示引导的关键过程包含三个步骤：
1. 列举回答问题所需的关键信息需求；
2. 为每个信息需求识别包含相关信息的段落；
3. 选择一组段落，使其共同提供最全面、多样化的信息覆盖，以有效回答问题。
来自: [2025.acl-long.861_Shifting from Ranking to Set Selection for Retrieval Augmented Generation, 第3页, 2025.acl-long.861_Shifting from Ranking to Set Selection for Retrieval Augmented Generation_chunk_006]</t>
  </si>
  <si>
    <t>Meta-Bench基准测试中，α参数的最优范围是多少？这个参数的作用是什么？</t>
  </si>
  <si>
    <t>α参数的最优范围在0.65到0.8之间。这个参数用于平衡工具描述和参数描述在工具检索中的权重。</t>
  </si>
  <si>
    <t>α参数的最优范围是0.65到0.8。该参数用于平衡工具描述和参数描述在工具检索中的权重，从而影响检索命中率，适当平衡时可提升检索效果。
来自: [2025.acl-long.1481_Meta-Tool, 第20页, 2025.acl-long.1481_Meta-Tool_chunk_033]</t>
  </si>
  <si>
    <t>CypherBench 是如何从 RDF 图生成领域特定属性图的？</t>
  </si>
  <si>
    <t>CypherBench 通过将 RDF 图转换为多个领域特定的属性图（domain-specific property graphs）来实现这一过程，并使用 Cypher 语言对其进行查询。</t>
  </si>
  <si>
    <t>CypherBench 通过手动策划领域特定的属性图模式，然后利用 SPARQL 查询将 RDF 数据转换为多个领域特定的属性图视图（物化视图），每个视图包含符合其模式的所有数据，并可在底层 RDF 数据变化时更新。
来自: [2025.acl-long.438_CypherBench, 第4页, 2025.acl-long.438_CypherBench_chunk_007]</t>
  </si>
  <si>
    <t xml:space="preserve"> ClinRaGen框架的三阶段理由蒸馏范式是什么？</t>
  </si>
  <si>
    <t>ClinRaGen框架采用三阶段理由蒸馏范式：第一阶段从医疗笔记中蒸馏理由，让SLM发展对文本临床信息的基础理解；第二阶段引入知识增强注意力，将数值实验室测试与结构化医学知识对齐，蒸馏实验室测试为基础的理由；第三阶段完全整合文本和数值输入，使SLM能够生成临床连贯的多模态理由以支持疾病诊断。</t>
  </si>
  <si>
    <t>ClinRaGen的三阶段理由蒸馏范式是：第一阶段仅使用医疗笔记训练小语言模型，使其生成诊断和基于笔记的理由，建立文本推理基础；第二阶段引入知识增强注意力，将实验室检测数值与结构化医学知识对齐，蒸馏基于实验室检测的理由；第三阶段完全整合文本与数值输入，生成融合多模态信息的临床理由。
来自: [2025.acl-long.540_Knowledge-Augmented Multimodal Clinical Rationale Generation for Disease Diagnosis with Small Language Models, 第4页, 2025.acl-long.540_Knowledge-Augmented Multimodal Clinical Rationale Generation for Disease Diagnosis with Small Language Models_chunk_008]</t>
  </si>
  <si>
    <t>QAEncoder如何解决文档-查询差距问题？</t>
  </si>
  <si>
    <t>QAEncoder采用了一种无需训练的方法来弥合文档与查询之间的差距。其核心机制包含两点：
潜在查询期望估计： 在嵌入空间中估计潜在查询的期望值，将其作为文档嵌入的鲁棒替代表示，从而使文档表示在语义上更贴近查询空间。
文档指纹附加： 为这些嵌入表示附加文档指纹，以有效区分不同文档的嵌入，避免仅依赖查询期望导致的文档辨识度丢失问题。</t>
  </si>
  <si>
    <t>QAEncoder通过为每个文档生成多样化的查询（如5W1H），并利用蒙特卡洛方法估计这些查询嵌入的聚类中心，以该聚类中心替代原始文档嵌入，从而弥合文档与查询之间的语义差距。同时，引入文档指纹策略来恢复文档的独特身份，解决因使用查询中心而导致的文档区分度下降问题。
来自: [2025.acl-long.217_QAEncoder, 第1页, 2025.acl-long.217_QAEncoder_chunk_003]  
来自: [2025.acl-long.217_QAEncoder, 第2页, 2025.acl-long.217_QAEncoder_chunk_004]</t>
  </si>
  <si>
    <t>在 HALOGEN 的文本简化任务中，如何验证模型生成的简化文本是否忠实于原文？</t>
  </si>
  <si>
    <t>先用 GPT-3.5-turbo 将简化文本分解为独立的原子事实，再用 Llama-2-70B-chat 判断每个原子事实是否被原文蕴含。</t>
  </si>
  <si>
    <t>在 HALOGEN 的文本简化任务中，验证方法采用与摘要任务相同的流程：先用 GPT-3.5 将生成的简化文本分解为独立事实，再用 Llama-2-70B 对每个原子事实进行蕴含判断（entailment decision）。
来自: [2025.acl-long.71_HALoGEN, 第3页, 2025.acl-long.71_HALoGEN_chunk_006]</t>
  </si>
  <si>
    <t>在"CiteEval"论文中，GPT-4o和Llama-3-70B在Cited scenario和Full scenario下的表现有何差异？</t>
  </si>
  <si>
    <t>实验结果类</t>
  </si>
  <si>
    <t>在Cited scenario下，GPT-4o表现最佳，Llama-3-70B与GPT-4o-mini相当；在Full scenario下，Llama-3-70B超越GPT-4o，取得最佳性能。</t>
  </si>
  <si>
    <t>在Cited scenario下，GPT-4o是表现最好的模型，Llama-3-70B的表现与GPT-4o-mini相当；而在Full scenario下，Llama-3-70B超越了GPT-4o，取得了最佳表现。
来自: [2025.acl-long.1574_CiteEval, 第7页, 2025.acl-long.1574_CiteEval_chunk_018]</t>
  </si>
  <si>
    <t>"FaithfulRAG"在FaithEval数据集上使用Mistral-7B作为backbone时的准确率是多少？相比最强基线提高了多少？</t>
  </si>
  <si>
    <t>81.7%，比最强基线(KRE的73.2%)提高了8.5%。</t>
  </si>
  <si>
    <t>FaithfulRAG在FaithEval数据集上使用Mistral-7B backbone的准确率为81.7%，相比最强基线（KRE的73.2%）提高了8.5%。
来自: [2025.acl-long.1062_FaithfulRAG, 第7页, 2025.acl-long.1062_FaithfulRAG_chunk_019]</t>
  </si>
  <si>
    <t>RankCoT 相对于 vanilla RAG 模型的表现如何？这说明了什么？</t>
  </si>
  <si>
    <t>RankCoT 相比 vanilla RAG 模型有 2.5% 的提升，表明它在提供更有意义的细化方面有效，有助于 LLM 更好地回答问题。</t>
  </si>
  <si>
    <t>RankCoT 相比 vanilla RAG 模型，平均准确率提升了约 2.5%，这表明 RankCoT 能够对检索到的知识进行更有意义的精炼，从而帮助大语言模型更好地回答问题。
来自: [2025.acl-long.629_RankCoT, 第6页, 2025.acl-long.629_RankCoT_chunk_018]</t>
  </si>
  <si>
    <t>在 HALoGEN 基准测试中，表现最好的 LLM 生成事实的幻觉率范围是多少？</t>
  </si>
  <si>
    <t>实验发现，即使是表现最好的 LLM，其生成事实的幻觉率也在 3% 到 86% 之间，具体数值取决于所属领域。</t>
  </si>
  <si>
    <t>在 HALoGEN 基准测试中，表现最好的 LLM（GPT-4）的幻觉率范围是 3% 到 86%，具体取决于任务。
来自: [2025.acl-long.71_HALoGEN, 第1页, 2025.acl-long.71_HALoGEN_chunk_001]</t>
  </si>
  <si>
    <t xml:space="preserve"> 在LongBench v2基准测试中，人类专家在15分钟时间限制下的准确率是多少？</t>
  </si>
  <si>
    <t>人类专家在15分钟时间限制下的准确率为53.7%。</t>
  </si>
  <si>
    <t>在LongBench v2基准测试中，人类专家在15分钟时间限制下的准确率为53.7%。
来自: [2025.acl-long.183_LongBench v2, 第1页, 2025.acl-long.183_LongBench v2_chunk_000]</t>
  </si>
  <si>
    <t>AGENTSTAR方法在WebShop、ALFWorld和BabyAI任务上与GPT-4-Turbo相比有何优势？</t>
  </si>
  <si>
    <t>AGENTSTAR 在这三个任务上的性能全面超越了 GPT-4-Turbo。其中在 WebShop 上的提升最为显著（远超 GPT-4-Turbo 61 个百分点），在 ALFWorld 和 BabyAI 上也分别实现了大幅领先（超过 GPT-4-Turbo 20.5 和 9.87 个百分点）。</t>
  </si>
  <si>
    <t>AGENTSTAR 在 WebShop、ALFWorld 和 BabyAI 任务上分别比 GPT-4-Turbo 高出 61.00、20.50 和 9.87 个点。
来自: [2025.acl-long.1355_AgentGym, 第7页, 2025.acl-long.1355_AgentGym_chunk_020]</t>
  </si>
  <si>
    <t>在Humanity's Last Exam数据集上，Agentic Reasoning与DeepSeek-R1结合的性能提升是多少？与OpenAI Deep Research的差距如何变化？</t>
  </si>
  <si>
    <t>在Humanity's Last Exam数据集上，Agentic Reasoning与DeepSeek-R1结合达到了23.8%的准确率，比基础模型提升了14.4%，与专有的OpenAI Deep Research的差距缩小到仅2.8%。</t>
  </si>
  <si>
    <t>在Humanity's Last Exam数据集上，Agentic Reasoning与DeepSeek-R1结合后准确率达到23.8%，相比DeepSeek-R1的9.4%提升了14.4个百分点。与OpenAI Deep Research（26.6%）的差距缩小至仅2.8%。
来自: [2025.acl-long.1383_Agentic Reasoning, 第1页, 2025.acl-long.1383_Agentic Reasoning_chunk_002]</t>
  </si>
  <si>
    <t>在GAIA基准测试中，Agentic Reasoning在不同级别任务上的表现如何？</t>
  </si>
  <si>
    <t>在GAIA基准测试中，Agentic Reasoning在Level 1和Level 2任务上超越了OpenAI的Deep Research，在Level 3任务上将差距缩小到2.26%。</t>
  </si>
  <si>
    <t>在GAIA基准测试中，Agentic Reasoning 在 Level 1 上达到 74.36，Level 2 上达到 69.21，Level 3 上达到 45.46，平均分 66.13，在所有公开方法中建立了新的最优结果。它在 Level 1 和 Level 2 任务上超越了 OpenAI 的 Deep Research，并将 Level 3 的差距缩小至 2.26%。
来自: [2025.acl-long.1383_Agentic Reasoning, 第5页, 2025.acl-long.1383_Agentic Reasoning_chunk_010]</t>
  </si>
  <si>
    <t xml:space="preserve"> 在Asclepius医学基准测试中，人类医生与Med-MLLMs的表现对比如何？</t>
  </si>
  <si>
    <t>在Asclepius基准测试中，人类医生在所有专业领域都超过了Med-MLLMs。即使是平均准确率为57.4%的初级医生也略微超过了表现最好的Med-MLLM GPT-4V（准确率为54.3%）。这表明尽管人工智能取得了进步，但在诊断精度方面人类专业知识与当前Med-MLLMs之间仍存在差距。</t>
  </si>
  <si>
    <t>人类医生在所有专科的诊断准确率上均优于Med-MLLMs。即使初级医生（平均准确率57.4%）也略高于表现最好的Med-MLLM GPT-4V（54.3%）。GPT-4V的表现最接近人类医生，甚至略超某位医生（Doctor2）0.005，但整体人类医生平均准确率（0.538–0.641）高于所有Med-MLLMs。
来自: [2025.acl-long.1178_Asclepius, 第7页, 2025.acl-long.1178_Asclepius_chunk_016] [2025.acl-long.1178_Asclepius, 第14页, 2025.acl-long.1178_Asclepius_chunk_022]</t>
  </si>
  <si>
    <t>在LongDocURL基准测试中，GPT-4o的表现如何？其他开源模型呢？</t>
  </si>
  <si>
    <t>在LongDocURL基准测试中，只有GPT-4o达到了及格标准，得分为64.5，表明该基准对当前模型提出了重大挑战。在开源模型中，只有Qwen2-VL（得分30.6）和LLaVA-OneVision（得分22.0和25.0）超过了20分的阈值，其他参数少于13B的模型都低于这个阈值。</t>
  </si>
  <si>
    <t>在LongDocURL基准测试中，GPT-4o得分64.5，是唯一达到及格标准的模型，表现最优。开源模型整体表现较弱，其中Qwen2-VL得分30.6，LLaVA-OneVision得分22.0和25.0，其余开源模型得分均低于20。
来自: [LongDocURL, 第6页, 2025.acl-long.57_LongDocURL_chunk_013]
来自: [LongDocURL, 第2页, 2025.acl-long.57_LongDocURL_chunk_003]</t>
  </si>
  <si>
    <t>RAGEval 提出的自动评估指标与人工评估的一致性如何？</t>
  </si>
  <si>
    <t>实验结果表明，RAGEval 的机器自动评估与人工评估在所有指标上均表现出高度一致性。两者之间的最终绝对差异仅为 1.67%。</t>
  </si>
  <si>
    <t>RAGEval 使用 LLM 对提出的指标进行评分，与人工评估表现出高度一致性。
来自: [2025.acl-long.418_RAGEval, 第1页, 2025.acl-long.418_RAGEval_chunk_000]</t>
  </si>
  <si>
    <t>在利用大模型内部知识应对知识冲突时，《Astute RAG》与《FaithfulRAG》各自采用了什么核心机制/模块来提取或生成内部知识？</t>
  </si>
  <si>
    <t>跨论文比较类</t>
  </si>
  <si>
    <t>《Astute RAG》：采用自适应段落生成机制，通过提示大模型直接生成包含内部知识的段落，并允许模型自适应决定生成的段落数量。
《FaithfulRAG》：采用自我事实挖掘 模块，通过外部化大模型对问题的理解，提取出细粒度的、事实级别的内部知识。</t>
  </si>
  <si>
    <t>《Astute RAG》通过**自适应生成内部知识（adaptive generation of internal knowledge）** 模块，利用LLM根据查询动态生成内部知识段落。  
《FaithfulRAG》则通过**自事实挖掘（Self-Fact Mining）** 模块，采用三阶段层次化过程（自我知识提取、自上下文生成、自事实提取）将LLM的参数化知识外部化为细粒度事实。
来自: [2025.acl-long.1476_Astute RAG, 第4页, 2025.acl-long.1476_Astute RAG_chunk_008]  
来自: [2025.acl-long.1062_FaithfulRAG, 第4页, 2025.acl-long.1062_FaithfulRAG_chunk_010]</t>
  </si>
  <si>
    <t>"UniRAG"和"FaithfulRAG"在处理查询理解方面的核心创新分别是什么？</t>
  </si>
  <si>
    <t>UniRAG提出统一的查询理解框架，集成查询增强和查询编码两个阶段；FaithfulRAG通过自我事实挖掘和自思考模块，在事实级别识别并解决参数化知识与检索上下文之间的冲突，提高语义一致性。</t>
  </si>
  <si>
    <t>UniRAG的核心创新在于将查询增强与编码统一到单个解码器模型中，消除任务分离，并通过自适应选择最优增强策略（查询释义、扩展、抽象）来提升查询理解。FaithfulRAG的核心创新则聚焦于生成阶段，在事实层面识别并解决知识冲突，通过自思考模块整合冲突事实以提升生成忠实性，并未直接涉及查询理解。
来自: [2025.acl-long.693_UniRAG, 第1页, 2025.acl-long.693_UniRAG_chunk_000]  
来自: [2025.acl-long.1062_FaithfulRAG, 第9页, 2025.acl-long.1062_FaithfulRAG_chunk_025]</t>
  </si>
  <si>
    <t>比较MEMERAG和DragonBall两个基准的异同点，它们各自关注的评估维度是什么？</t>
  </si>
  <si>
    <t>相同点：两者都是多语言RAG评估基准。不同点：MEMERAG专注于多语言端到端元评估，使用母语问题并由专家评估忠实度和相关性；DragonBall是一个多场景多语言RAG全能基准，涵盖金融、法律、医疗领域，包含6,711个问题，用于评估RAG系统在不同场景下的性能。</t>
  </si>
  <si>
    <t>MEMERAG和DragonBall都是用于评估检索增强生成（RAG）系统的基准，但二者在构建方式、覆盖范围和评估维度上存在明显差异。
**相同点**：两者均旨在为RAG系统提供可靠的评估手段，且都包含多语言数据（MEMERAG覆盖5种语言，DragonBall包含中英文）。
**不同点**：
- **构建基础**：MEMERAG基于原生多语言问题（MIRACL数据集），避免翻译偏差，强调对终端用户体验的真实反映；DragonBall则通过自动生成方式构建，聚焦金融、法律、医疗等特定领域。
- **评估目标**：MEMERAG是元评估基准，用于衡量自动评估器与人类判断的相关性；DragonBall直接评估RAG系统的检索与生成质量。
- **评估维度**：MEMERAG关注**忠实性（Faithfulness）**和**相关性（Relevance）**两个维度；DragonBall则提出**完整性（Completeness）**、**幻觉（Hallucination）**和**无关性（Irrelevance）**三个基于事实关键点的指标。
来自: [2025.acl-long.1101_MEMERAG, 第3页, 2025.acl-long.1101_MEMERAG_chunk_007]  
来自: [2025.acl-long.418_RAGEval, 第2页, 2025.acl-long.418_RAGEval_chunk_002]  
来自: [2025.acl-long.1101_MEMERAG, 第1页, 2025.acl-long.1101_MEMERAG_chunk_002]  
来自: [2025.acl-long.418_RAGEval, 第4页, 2025.acl-long.418_RAGEval_chunk_008]</t>
  </si>
  <si>
    <t>SYNQA 和 RHIO 分别通过什么方式生成训练数据？这两种数据生成策略在提升模型归因能力上有什么不同？</t>
  </si>
  <si>
    <t>SYNQA：通过 LLM 生成式合成完全受上下文支持的 QA 对（正样本），用于微调小模型的归因能力。
RHIO：通过选择性掩码检索头，让 LLM 自身生成模拟真实错误的不忠实样本（负样本），并与忠实样本进行联合训练。</t>
  </si>
  <si>
    <t>SYNQA 通过使用维基百科句子，提示大语言模型生成完全由这些句子支持的问题-答案对，从而合成归因训练数据。RHIO 则通过选择性遮蔽检索头来增强不忠实样本，模拟模型内在错误，然后将这些样本纳入联合训练，使模型能够区分忠实与不忠实的生成。
两种策略在提升模型归因能力上的不同在于：SYNQA 直接生成高质量的句子级归因数据，用于微调小型模型，以提升上下文归因的准确性和跨域泛化能力；RHIO 则通过生成不忠实样本并训练模型辨别输出忠实性，从而强化模型自身的上下文忠实度，间接改善归因表现。
来自: [2025.acl-long.828_On Synthesizing Data for Context Attribution in Question Answering, 第2页, 2025.acl-long.828_On Synthesizing Data for Context Attribution in Question Answering_chunk_003]
来自: [2025.acl-long.826_Improving Contextual Faithfulness of Large Language Models via Retrieval Heads-Induced Optimization, 第1页, 2025.acl-long.826_Improving Contextual Faithfulness of Large Language Models via Retrieval Heads-Induced Optimization_chunk_001]</t>
  </si>
  <si>
    <t>比较LongBench v2和AGENTGYM应用场景区别。</t>
  </si>
  <si>
    <t>LongBench v2：专注于长上下文理解的多任务评估，包含503个多项选择题，上下文长度从8k到2M单词，涵盖6个主要任务类别，用于评估LLM在长文档理解和推理方面的能力
AGENTGYM：专注于代理训练和工具使用的环境集合，包含11个不同的交互环境（如Minecraft、ScienceWorld、BabyAI等），用于训练和评估LLM代理在多样化任务中的能力</t>
  </si>
  <si>
    <t>LongBench v2 是一个面向长上下文深度理解与推理的静态评测基准，覆盖单文档/多文档问答、长上下文学习、长对话历史、代码仓库、长结构化数据等六类真实场景，旨在评估模型在给定长文本上的阅读理解能力。  
AGENTGYM 则是一个支持多环境、多任务、实时交互的代理框架，提供 7 个真实场景、14 个环境和 89 个任务，用于开发和评估 LLM 代理在多轮决策任务中的交互、探索与自我改进能力。  
简言之，前者聚焦于“长文本理解”的静态评测，后者聚焦于“多环境交互决策”的动态代理训练与评估。
来自: [2025.acl-long.183_LongBench v2, 第1页, 2025.acl-long.183_LongBench v2_chunk_002]  
来自: [2025.acl-long.183_LongBench v2, 第1页, 2025.acl-long.183_LongBench v2_chunk_000]  
来自: [2025.acl-long.1355_AgentGym, 第1页, 2025.acl-long.1355_AgentGym_chunk_001]</t>
  </si>
  <si>
    <t>Agentic Reasoning 与 AR-MCTS 分别采用什么核心机制来提升复杂推理能力？</t>
  </si>
  <si>
    <t>Agentic Reasoning：动态调用网页搜索、代码执行作为工具，并引入 Mind‑Map 知识图谱智能体作为结构化记忆，存储推理上下文并追踪逻辑关系。
AR-MCTS：基于蒙特卡洛树搜索（MCTS），在扩展阶段集成主动检索（Active Retrieval） 机制，自动获取逐步推理的高质量标注，渐进式提升多模态大模型的推理能力。</t>
  </si>
  <si>
    <t>AR-MCTS的核心机制是主动检索（Active Retrieval）与蒙特卡洛树搜索（MCTS），并配合过程奖励模型进行过程级推理验证。Agentic Reasoning的核心机制是集成Mind-Map、网络搜索和编码。
来自: [2025.acl-long.180_Progressive Multimodal Reasoning via Active Retrieval, 第1页, 2025.acl-long.180_Progressive Multimodal Reasoning via Active Retrieval_chunk_000]
来自: [2025.acl-long.1383_Agentic Reasoning, 第8页, 2025.acl-long.1383_Agentic Reasoning_chunk_017]</t>
  </si>
  <si>
    <t>MAIN‑RAG 与 RAG‑Critic 在提升 RAG 系统可靠性方面分别采用了什么核心方法？</t>
  </si>
  <si>
    <t>MAIN‑RAG 采用多智能体协作过滤机制，通过三个 LLM 智能体（Predictor、Judge、Final‑Predictor）对检索文档进行相关性评分和排序，并利用自适应阈值动态过滤噪声文档，无需训练。
RAG‑Critic 采用批评引导的智能体工作流，首先构建层次化 RAG 错误系统（3 级错误类型，含 4000+ 细粒度标签），然后训练轻量级错误批评模型进行自动错误诊断，最后通过规划智能体根据错误反馈定制并执行修正方案。</t>
  </si>
  <si>
    <t>MAIN‑RAG 采用训练无关的多智能体过滤方法，通过多个 LLM 智能体协作过滤和评分检索文档，并动态调整相关性阈值，以确保仅使用最相关和高质量的文档进行生成。  
RAG‑Critic 采用批评者引导的智能体工作流，先通过数据驱动的错误挖掘建立层次化 RAG 错误系统，再训练错误批评模型以提供细粒度反馈，最后基于错误反馈自动定制解决方案流进行错误驱动的纠正。
来自: [2025.acl-long.131_MAIN-RAG, 第1页, 2025.acl-long.131_MAIN-RAG_chunk_004]  
来自: [2025.acl-long.179_RAG-Critic, 第9页, 2025.acl-long.179_RAG-Critic_chunk_020]</t>
  </si>
  <si>
    <t>在构建可靠的问答（QA）系统时，这QAEncoder与On Synthesizing Data for Context Attribution in Question Answering两篇论文分别侧重于优化系统工作流的哪个阶段？它们各自试图解决的核心痛点是什么？</t>
  </si>
  <si>
    <t>《QAEncoder》侧重于“检索阶段”
核心痛点：用户的自然语言查询与知识库中的文档之间存在语义和词汇上的鸿沟，导致检索模块无法精准召回相关文档。
《On Synthesizing Data for Context Attribution... (SYNQA)》侧重于“生成后阶段”
核心痛点：大语言模型在生成答案时容易产生幻觉，用户很难验证生成的答案是否真的基于提供的上下文，缺乏可解释性和事实依据。</t>
  </si>
  <si>
    <t>QAEncoder 侧重于优化 QA 系统的**检索阶段**，其核心痛点是密集检索中**文档与查询之间的语义差距**（document-query gap），导致检索效果受限且现有查询中心方法难以有效融入密集检索。  
另一篇论文（On Synthesizing Data for Context Attribution in Question Answering）侧重于优化 QA 系统的**答案生成后的上下文归因阶段**，其核心痛点是**归因任务对大规模人工标注数据的严重依赖**，以及现有归因粒度（如段落级、文档级）在人工验证中的不适用性。
来自: [2025.acl-long.217_QAEncoder, 第1页, 2025.acl-long.217_QAEncoder_chunk_003]  
来自: [2025.acl-long.828_On Synthesizing Data for Context Attribution in Question Answering, 第9页, 2025.acl-long.828_On Synthesizing Data for Context Attribution in Question Answering_chunk_024]  
来自: [2025.acl-long.828_On Synthesizing Data for Context Attribution in Question Answering, 第9页, 2025.acl-long.828_On Synthesizing Data for Context Attribution in Question Answering_chunk_023]</t>
  </si>
  <si>
    <t>这10篇论文中哪一篇提出了名为"RAG-Guard"的安全防护框架？</t>
  </si>
  <si>
    <t>不可回答类</t>
  </si>
  <si>
    <t>无法回答。</t>
  </si>
  <si>
    <t>根据已有信息，无法回答此问题。</t>
  </si>
  <si>
    <t>"ProLong"模型在训练过程中使用了哪种具体的优化器来处理长序列训练的梯度问题？</t>
  </si>
  <si>
    <t>SETR模型在训练时具体的训练时间是多少小时？</t>
  </si>
  <si>
    <t xml:space="preserve"> L-CiteEval基准中使用的NLI模型deberta-base-long-nli的准确率是多少？该模型在哪些具体数据集上进行了训练？</t>
  </si>
  <si>
    <t>论文中是否提到了SYNQA方法在医疗领域的具体应用案例？</t>
  </si>
  <si>
    <t>论文中是否提供了RHIO方法在实时应用场景中的延迟测试数据？</t>
  </si>
  <si>
    <t>Agentic Reasoning框架中使用的Mind-Map agent的具体神经网络架构是什么？</t>
  </si>
  <si>
    <t>在CypherBench基准测试中，每个问题模板具体包含多少个训练样本？</t>
  </si>
  <si>
    <t>【总体平均值】</t>
  </si>
  <si>
    <t>【定义类平均值】</t>
  </si>
  <si>
    <t>【方法细节类平均值】</t>
  </si>
  <si>
    <t>【实验结果类平均值】</t>
  </si>
  <si>
    <t>【跨论文比较类平均值】</t>
  </si>
  <si>
    <t>【不可回答类平均值】</t>
  </si>
  <si>
    <t>根据已有信息，无法回答此问题。</t>
    <phoneticPr fontId="2" type="noConversion"/>
  </si>
  <si>
    <t>监督微调（Supervised Fine-tuning）、强化学习（Reinforcement Learning）和测试时计算（Test-time Compute）。
来自: [2025.acl-long.140_A Survey of Post-Training Scaling in Large Language Models, 第2页, 2025.acl-long.140_A Survey of Post-Training Scaling in Large Language Models_chunk_004]</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</si>
</sst>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xf numFmtId="0" fontId="1" fillId="2" borderId="1" xfId="0" applyFont="1" applyFill="1" applyBorder="1" applyAlignment="1">
      <alignment horizontal="center" vertical="center" wrapText="1"/>
    </xf>
    <xf numFmtId="0" fontId="0" fillId="2" borderId="0" xfId="0" applyFill="1"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8"/>
  <sheetViews>
    <sheetView tabSelected="1" topLeftCell="A36" workbookViewId="0">
      <selection activeCell="I36" sqref="I36"/>
    </sheetView>
  </sheetViews>
  <sheetFormatPr defaultRowHeight="14" x14ac:dyDescent="0.25"/>
  <cols>
    <col min="1" max="1" width="26.26953125" style="2" customWidth="1"/>
    <col min="2" max="2" width="8.54296875" style="2" customWidth="1"/>
    <col min="3" max="4" width="26.26953125" style="2" customWidth="1"/>
    <col min="5" max="8" width="8.7265625" style="2"/>
    <col min="9" max="9" width="8.7265625" style="4"/>
    <col min="10" max="16384" width="8.7265625" style="2"/>
  </cols>
  <sheetData>
    <row r="1" spans="1:15" ht="42" x14ac:dyDescent="0.25">
      <c r="A1" s="1" t="s">
        <v>0</v>
      </c>
      <c r="B1" s="1" t="s">
        <v>1</v>
      </c>
      <c r="C1" s="1" t="s">
        <v>2</v>
      </c>
      <c r="D1" s="1" t="s">
        <v>3</v>
      </c>
      <c r="E1" s="1" t="s">
        <v>4</v>
      </c>
      <c r="F1" s="1" t="s">
        <v>5</v>
      </c>
      <c r="G1" s="1" t="s">
        <v>6</v>
      </c>
      <c r="H1" s="1" t="s">
        <v>7</v>
      </c>
      <c r="I1" s="3" t="s">
        <v>8</v>
      </c>
      <c r="J1" s="1" t="s">
        <v>9</v>
      </c>
      <c r="K1" s="1" t="s">
        <v>10</v>
      </c>
      <c r="L1" s="1" t="s">
        <v>11</v>
      </c>
      <c r="M1" s="1" t="s">
        <v>12</v>
      </c>
      <c r="N1" s="1" t="s">
        <v>13</v>
      </c>
      <c r="O1" s="1" t="s">
        <v>14</v>
      </c>
    </row>
    <row r="2" spans="1:15" ht="182" x14ac:dyDescent="0.25">
      <c r="A2" s="2" t="s">
        <v>15</v>
      </c>
      <c r="B2" s="2" t="s">
        <v>16</v>
      </c>
      <c r="C2" s="2" t="s">
        <v>17</v>
      </c>
      <c r="D2" s="2" t="s">
        <v>162</v>
      </c>
      <c r="E2" s="2">
        <v>1</v>
      </c>
      <c r="F2" s="2">
        <v>1</v>
      </c>
      <c r="G2" s="2">
        <v>1</v>
      </c>
      <c r="H2" s="2">
        <v>1</v>
      </c>
      <c r="I2" s="4">
        <v>1</v>
      </c>
      <c r="J2" s="2">
        <v>1</v>
      </c>
      <c r="K2" s="2" t="b">
        <v>0</v>
      </c>
      <c r="L2" s="2">
        <v>3</v>
      </c>
      <c r="M2" s="2">
        <v>0</v>
      </c>
      <c r="N2" s="2">
        <v>0</v>
      </c>
    </row>
    <row r="3" spans="1:15" ht="98" x14ac:dyDescent="0.25">
      <c r="A3" s="2" t="s">
        <v>18</v>
      </c>
      <c r="B3" s="2" t="s">
        <v>16</v>
      </c>
      <c r="C3" s="2" t="s">
        <v>19</v>
      </c>
      <c r="D3" s="2" t="s">
        <v>20</v>
      </c>
      <c r="E3" s="2">
        <v>0</v>
      </c>
      <c r="F3" s="2">
        <v>0</v>
      </c>
      <c r="G3" s="2">
        <v>0</v>
      </c>
      <c r="H3" s="2">
        <v>0</v>
      </c>
      <c r="I3" s="4">
        <v>1</v>
      </c>
      <c r="J3" s="2">
        <v>1</v>
      </c>
      <c r="K3" s="2" t="b">
        <v>0</v>
      </c>
      <c r="L3" s="2">
        <v>1</v>
      </c>
      <c r="M3" s="2">
        <v>0</v>
      </c>
      <c r="N3" s="2">
        <v>0</v>
      </c>
    </row>
    <row r="4" spans="1:15" ht="112" x14ac:dyDescent="0.25">
      <c r="A4" s="2" t="s">
        <v>21</v>
      </c>
      <c r="B4" s="2" t="s">
        <v>16</v>
      </c>
      <c r="C4" s="2" t="s">
        <v>22</v>
      </c>
      <c r="D4" s="2" t="s">
        <v>23</v>
      </c>
      <c r="E4" s="2">
        <v>1</v>
      </c>
      <c r="F4" s="2">
        <v>1</v>
      </c>
      <c r="G4" s="2">
        <v>1</v>
      </c>
      <c r="H4" s="2">
        <v>1</v>
      </c>
      <c r="I4" s="4">
        <v>1</v>
      </c>
      <c r="J4" s="2">
        <v>1</v>
      </c>
      <c r="K4" s="2" t="b">
        <v>0</v>
      </c>
      <c r="L4" s="2">
        <v>1</v>
      </c>
      <c r="M4" s="2">
        <v>0</v>
      </c>
      <c r="N4" s="2">
        <v>0</v>
      </c>
    </row>
    <row r="5" spans="1:15" ht="140" x14ac:dyDescent="0.25">
      <c r="A5" s="2" t="s">
        <v>24</v>
      </c>
      <c r="B5" s="2" t="s">
        <v>16</v>
      </c>
      <c r="C5" s="2" t="s">
        <v>25</v>
      </c>
      <c r="D5" s="2" t="s">
        <v>26</v>
      </c>
      <c r="E5" s="2">
        <v>1</v>
      </c>
      <c r="F5" s="2">
        <v>1</v>
      </c>
      <c r="G5" s="2">
        <v>1</v>
      </c>
      <c r="H5" s="2">
        <v>1</v>
      </c>
      <c r="I5" s="4">
        <v>1</v>
      </c>
      <c r="J5" s="2">
        <v>0.8</v>
      </c>
      <c r="K5" s="2" t="b">
        <v>0</v>
      </c>
      <c r="L5" s="2">
        <v>2</v>
      </c>
      <c r="M5" s="2">
        <v>0</v>
      </c>
      <c r="N5" s="2">
        <v>1</v>
      </c>
    </row>
    <row r="6" spans="1:15" ht="210" x14ac:dyDescent="0.25">
      <c r="A6" s="2" t="s">
        <v>27</v>
      </c>
      <c r="B6" s="2" t="s">
        <v>16</v>
      </c>
      <c r="C6" s="2" t="s">
        <v>28</v>
      </c>
      <c r="D6" s="2" t="s">
        <v>29</v>
      </c>
      <c r="E6" s="2">
        <v>1</v>
      </c>
      <c r="F6" s="2">
        <v>1</v>
      </c>
      <c r="G6" s="2">
        <v>1</v>
      </c>
      <c r="H6" s="2">
        <v>1</v>
      </c>
      <c r="I6" s="4">
        <v>1</v>
      </c>
      <c r="J6" s="2">
        <v>0.85699999999999998</v>
      </c>
      <c r="K6" s="2" t="b">
        <v>0</v>
      </c>
      <c r="L6" s="2">
        <v>3</v>
      </c>
      <c r="M6" s="2">
        <v>0</v>
      </c>
      <c r="N6" s="2">
        <v>1</v>
      </c>
    </row>
    <row r="7" spans="1:15" ht="182" x14ac:dyDescent="0.25">
      <c r="A7" s="2" t="s">
        <v>30</v>
      </c>
      <c r="B7" s="2" t="s">
        <v>16</v>
      </c>
      <c r="C7" s="2" t="s">
        <v>31</v>
      </c>
      <c r="D7" s="2" t="s">
        <v>32</v>
      </c>
      <c r="E7" s="2">
        <v>1</v>
      </c>
      <c r="F7" s="2">
        <v>1</v>
      </c>
      <c r="G7" s="2">
        <v>1</v>
      </c>
      <c r="H7" s="2">
        <v>1</v>
      </c>
      <c r="I7" s="4">
        <v>1</v>
      </c>
      <c r="J7" s="2">
        <v>0.66700000000000004</v>
      </c>
      <c r="K7" s="2" t="b">
        <v>0</v>
      </c>
      <c r="L7" s="2">
        <v>1</v>
      </c>
      <c r="M7" s="2">
        <v>0</v>
      </c>
      <c r="N7" s="2">
        <v>1</v>
      </c>
    </row>
    <row r="8" spans="1:15" ht="154" x14ac:dyDescent="0.25">
      <c r="A8" s="2" t="s">
        <v>33</v>
      </c>
      <c r="B8" s="2" t="s">
        <v>16</v>
      </c>
      <c r="C8" s="2" t="s">
        <v>34</v>
      </c>
      <c r="D8" s="2" t="s">
        <v>35</v>
      </c>
      <c r="E8" s="2">
        <v>1</v>
      </c>
      <c r="F8" s="2">
        <v>1</v>
      </c>
      <c r="G8" s="2">
        <v>1</v>
      </c>
      <c r="H8" s="2">
        <v>1</v>
      </c>
      <c r="I8" s="4">
        <v>1</v>
      </c>
      <c r="J8" s="2">
        <v>1</v>
      </c>
      <c r="K8" s="2" t="b">
        <v>0</v>
      </c>
      <c r="L8" s="2">
        <v>1</v>
      </c>
      <c r="M8" s="2">
        <v>0</v>
      </c>
      <c r="N8" s="2">
        <v>0</v>
      </c>
    </row>
    <row r="9" spans="1:15" ht="140" x14ac:dyDescent="0.25">
      <c r="A9" s="2" t="s">
        <v>36</v>
      </c>
      <c r="B9" s="2" t="s">
        <v>16</v>
      </c>
      <c r="C9" s="2" t="s">
        <v>37</v>
      </c>
      <c r="D9" s="2" t="s">
        <v>38</v>
      </c>
      <c r="E9" s="2">
        <v>1</v>
      </c>
      <c r="F9" s="2">
        <v>1</v>
      </c>
      <c r="G9" s="2">
        <v>1</v>
      </c>
      <c r="H9" s="2">
        <v>1</v>
      </c>
      <c r="I9" s="4">
        <v>1</v>
      </c>
      <c r="J9" s="2">
        <v>1</v>
      </c>
      <c r="K9" s="2" t="b">
        <v>0</v>
      </c>
      <c r="L9" s="2">
        <v>4</v>
      </c>
      <c r="M9" s="2">
        <v>0</v>
      </c>
      <c r="N9" s="2">
        <v>0</v>
      </c>
    </row>
    <row r="10" spans="1:15" ht="280" x14ac:dyDescent="0.25">
      <c r="A10" s="2" t="s">
        <v>39</v>
      </c>
      <c r="B10" s="2" t="s">
        <v>16</v>
      </c>
      <c r="C10" s="2" t="s">
        <v>40</v>
      </c>
      <c r="D10" s="2" t="s">
        <v>41</v>
      </c>
      <c r="E10" s="2">
        <v>1</v>
      </c>
      <c r="F10" s="2">
        <v>1</v>
      </c>
      <c r="G10" s="2">
        <v>1</v>
      </c>
      <c r="H10" s="2">
        <v>1</v>
      </c>
      <c r="I10" s="4">
        <v>1</v>
      </c>
      <c r="J10" s="2">
        <v>1</v>
      </c>
      <c r="K10" s="2" t="b">
        <v>0</v>
      </c>
      <c r="L10" s="2">
        <v>3</v>
      </c>
      <c r="M10" s="2">
        <v>0</v>
      </c>
      <c r="N10" s="2">
        <v>0</v>
      </c>
    </row>
    <row r="11" spans="1:15" ht="210" x14ac:dyDescent="0.25">
      <c r="A11" s="2" t="s">
        <v>42</v>
      </c>
      <c r="B11" s="2" t="s">
        <v>16</v>
      </c>
      <c r="C11" s="2" t="s">
        <v>43</v>
      </c>
      <c r="D11" s="2" t="s">
        <v>44</v>
      </c>
      <c r="E11" s="2">
        <v>1</v>
      </c>
      <c r="F11" s="2">
        <v>1</v>
      </c>
      <c r="G11" s="2">
        <v>1</v>
      </c>
      <c r="H11" s="2">
        <v>1</v>
      </c>
      <c r="I11" s="4">
        <v>1</v>
      </c>
      <c r="J11" s="2">
        <v>0.85699999999999998</v>
      </c>
      <c r="K11" s="2" t="b">
        <v>0</v>
      </c>
      <c r="L11" s="2">
        <v>3</v>
      </c>
      <c r="M11" s="2">
        <v>0</v>
      </c>
      <c r="N11" s="2">
        <v>1</v>
      </c>
    </row>
    <row r="12" spans="1:15" ht="112" x14ac:dyDescent="0.25">
      <c r="A12" s="2" t="s">
        <v>45</v>
      </c>
      <c r="B12" s="2" t="s">
        <v>16</v>
      </c>
      <c r="C12" s="2" t="s">
        <v>46</v>
      </c>
      <c r="D12" s="2" t="s">
        <v>47</v>
      </c>
      <c r="E12" s="2">
        <v>1</v>
      </c>
      <c r="F12" s="2">
        <v>1</v>
      </c>
      <c r="G12" s="2">
        <v>1</v>
      </c>
      <c r="H12" s="2">
        <v>1</v>
      </c>
      <c r="I12" s="4">
        <v>1</v>
      </c>
      <c r="J12" s="2">
        <v>1</v>
      </c>
      <c r="K12" s="2" t="b">
        <v>0</v>
      </c>
      <c r="L12" s="2">
        <v>2</v>
      </c>
      <c r="M12" s="2">
        <v>0</v>
      </c>
      <c r="N12" s="2">
        <v>0</v>
      </c>
    </row>
    <row r="13" spans="1:15" ht="308" x14ac:dyDescent="0.25">
      <c r="A13" s="2" t="s">
        <v>48</v>
      </c>
      <c r="B13" s="2" t="s">
        <v>16</v>
      </c>
      <c r="C13" s="2" t="s">
        <v>49</v>
      </c>
      <c r="D13" s="2" t="s">
        <v>50</v>
      </c>
      <c r="E13" s="2">
        <v>1</v>
      </c>
      <c r="F13" s="2">
        <v>1</v>
      </c>
      <c r="G13" s="2">
        <v>1</v>
      </c>
      <c r="H13" s="2">
        <v>1</v>
      </c>
      <c r="I13" s="4">
        <v>1</v>
      </c>
      <c r="J13" s="2">
        <v>1</v>
      </c>
      <c r="K13" s="2" t="b">
        <v>0</v>
      </c>
      <c r="L13" s="2">
        <v>3</v>
      </c>
      <c r="M13" s="2">
        <v>0</v>
      </c>
      <c r="N13" s="2">
        <v>0</v>
      </c>
    </row>
    <row r="14" spans="1:15" ht="224" x14ac:dyDescent="0.25">
      <c r="A14" s="2" t="s">
        <v>51</v>
      </c>
      <c r="B14" s="2" t="s">
        <v>52</v>
      </c>
      <c r="C14" s="2" t="s">
        <v>53</v>
      </c>
      <c r="D14" s="2" t="s">
        <v>54</v>
      </c>
      <c r="E14" s="2">
        <v>1</v>
      </c>
      <c r="F14" s="2">
        <v>1</v>
      </c>
      <c r="G14" s="2">
        <v>1</v>
      </c>
      <c r="H14" s="2">
        <v>1</v>
      </c>
      <c r="I14" s="4">
        <v>0</v>
      </c>
      <c r="J14" s="2">
        <v>1</v>
      </c>
      <c r="K14" s="2" t="b">
        <v>0</v>
      </c>
      <c r="L14" s="2">
        <v>1</v>
      </c>
      <c r="M14" s="2">
        <v>0</v>
      </c>
      <c r="N14" s="2">
        <v>0</v>
      </c>
    </row>
    <row r="15" spans="1:15" ht="168" x14ac:dyDescent="0.25">
      <c r="A15" s="2" t="s">
        <v>55</v>
      </c>
      <c r="B15" s="2" t="s">
        <v>52</v>
      </c>
      <c r="C15" s="2" t="s">
        <v>56</v>
      </c>
      <c r="D15" s="2" t="s">
        <v>57</v>
      </c>
      <c r="E15" s="2">
        <v>1</v>
      </c>
      <c r="F15" s="2">
        <v>1</v>
      </c>
      <c r="G15" s="2">
        <v>1</v>
      </c>
      <c r="H15" s="2">
        <v>1</v>
      </c>
      <c r="I15" s="4">
        <v>1</v>
      </c>
      <c r="J15" s="2">
        <v>1</v>
      </c>
      <c r="K15" s="2" t="b">
        <v>0</v>
      </c>
      <c r="L15" s="2">
        <v>3</v>
      </c>
      <c r="M15" s="2">
        <v>0</v>
      </c>
      <c r="N15" s="2">
        <v>0</v>
      </c>
    </row>
    <row r="16" spans="1:15" ht="308" x14ac:dyDescent="0.25">
      <c r="A16" s="2" t="s">
        <v>58</v>
      </c>
      <c r="B16" s="2" t="s">
        <v>52</v>
      </c>
      <c r="C16" s="2" t="s">
        <v>59</v>
      </c>
      <c r="D16" s="2" t="s">
        <v>60</v>
      </c>
      <c r="E16" s="2">
        <v>1</v>
      </c>
      <c r="F16" s="2">
        <v>1</v>
      </c>
      <c r="G16" s="2">
        <v>1</v>
      </c>
      <c r="H16" s="2">
        <v>1</v>
      </c>
      <c r="I16" s="4">
        <v>1</v>
      </c>
      <c r="J16" s="2">
        <v>1</v>
      </c>
      <c r="K16" s="2" t="b">
        <v>0</v>
      </c>
      <c r="L16" s="2">
        <v>3</v>
      </c>
      <c r="M16" s="2">
        <v>0</v>
      </c>
      <c r="N16" s="2">
        <v>0</v>
      </c>
    </row>
    <row r="17" spans="1:14" ht="224" x14ac:dyDescent="0.25">
      <c r="A17" s="2" t="s">
        <v>61</v>
      </c>
      <c r="B17" s="2" t="s">
        <v>52</v>
      </c>
      <c r="C17" s="2" t="s">
        <v>62</v>
      </c>
      <c r="D17" s="2" t="s">
        <v>63</v>
      </c>
      <c r="E17" s="2">
        <v>1</v>
      </c>
      <c r="F17" s="2">
        <v>1</v>
      </c>
      <c r="G17" s="2">
        <v>1</v>
      </c>
      <c r="H17" s="2">
        <v>1</v>
      </c>
      <c r="I17" s="4">
        <v>1</v>
      </c>
      <c r="J17" s="2">
        <v>1</v>
      </c>
      <c r="K17" s="2" t="b">
        <v>0</v>
      </c>
      <c r="L17" s="2">
        <v>2</v>
      </c>
      <c r="M17" s="2">
        <v>0</v>
      </c>
      <c r="N17" s="2">
        <v>0</v>
      </c>
    </row>
    <row r="18" spans="1:14" ht="392" x14ac:dyDescent="0.25">
      <c r="A18" s="2" t="s">
        <v>64</v>
      </c>
      <c r="B18" s="2" t="s">
        <v>52</v>
      </c>
      <c r="C18" s="2" t="s">
        <v>65</v>
      </c>
      <c r="D18" s="2" t="s">
        <v>66</v>
      </c>
      <c r="E18" s="2">
        <v>1</v>
      </c>
      <c r="F18" s="2">
        <v>1</v>
      </c>
      <c r="G18" s="2">
        <v>1</v>
      </c>
      <c r="H18" s="2">
        <v>1</v>
      </c>
      <c r="I18" s="4">
        <v>1</v>
      </c>
      <c r="J18" s="2">
        <v>0.8</v>
      </c>
      <c r="K18" s="2" t="b">
        <v>0</v>
      </c>
      <c r="L18" s="2">
        <v>4</v>
      </c>
      <c r="M18" s="2">
        <v>0</v>
      </c>
      <c r="N18" s="2">
        <v>0</v>
      </c>
    </row>
    <row r="19" spans="1:14" ht="280" x14ac:dyDescent="0.25">
      <c r="A19" s="2" t="s">
        <v>67</v>
      </c>
      <c r="B19" s="2" t="s">
        <v>52</v>
      </c>
      <c r="C19" s="2" t="s">
        <v>68</v>
      </c>
      <c r="D19" s="2" t="s">
        <v>69</v>
      </c>
      <c r="E19" s="2">
        <v>1</v>
      </c>
      <c r="F19" s="2">
        <v>1</v>
      </c>
      <c r="G19" s="2">
        <v>1</v>
      </c>
      <c r="H19" s="2">
        <v>1</v>
      </c>
      <c r="I19" s="4">
        <v>1</v>
      </c>
      <c r="J19" s="2">
        <v>1</v>
      </c>
      <c r="K19" s="2" t="b">
        <v>0</v>
      </c>
      <c r="L19" s="2">
        <v>3</v>
      </c>
      <c r="M19" s="2">
        <v>0</v>
      </c>
      <c r="N19" s="2">
        <v>0</v>
      </c>
    </row>
    <row r="20" spans="1:14" ht="168" x14ac:dyDescent="0.25">
      <c r="A20" s="2" t="s">
        <v>70</v>
      </c>
      <c r="B20" s="2" t="s">
        <v>52</v>
      </c>
      <c r="C20" s="2" t="s">
        <v>71</v>
      </c>
      <c r="D20" s="2" t="s">
        <v>72</v>
      </c>
      <c r="E20" s="2">
        <v>1</v>
      </c>
      <c r="F20" s="2">
        <v>1</v>
      </c>
      <c r="G20" s="2">
        <v>1</v>
      </c>
      <c r="H20" s="2">
        <v>1</v>
      </c>
      <c r="I20" s="4">
        <v>1</v>
      </c>
      <c r="J20" s="2">
        <v>1</v>
      </c>
      <c r="K20" s="2" t="b">
        <v>0</v>
      </c>
      <c r="L20" s="2">
        <v>2</v>
      </c>
      <c r="M20" s="2">
        <v>0</v>
      </c>
      <c r="N20" s="2">
        <v>0</v>
      </c>
    </row>
    <row r="21" spans="1:14" ht="182" x14ac:dyDescent="0.25">
      <c r="A21" s="2" t="s">
        <v>73</v>
      </c>
      <c r="B21" s="2" t="s">
        <v>52</v>
      </c>
      <c r="C21" s="2" t="s">
        <v>74</v>
      </c>
      <c r="D21" s="2" t="s">
        <v>75</v>
      </c>
      <c r="E21" s="2">
        <v>1</v>
      </c>
      <c r="F21" s="2">
        <v>1</v>
      </c>
      <c r="G21" s="2">
        <v>1</v>
      </c>
      <c r="H21" s="2">
        <v>1</v>
      </c>
      <c r="I21" s="4">
        <v>1</v>
      </c>
      <c r="J21" s="2">
        <v>0.66700000000000004</v>
      </c>
      <c r="K21" s="2" t="b">
        <v>0</v>
      </c>
      <c r="L21" s="2">
        <v>1</v>
      </c>
      <c r="M21" s="2">
        <v>1</v>
      </c>
      <c r="N21" s="2">
        <v>0</v>
      </c>
    </row>
    <row r="22" spans="1:14" ht="392" x14ac:dyDescent="0.25">
      <c r="A22" s="2" t="s">
        <v>76</v>
      </c>
      <c r="B22" s="2" t="s">
        <v>52</v>
      </c>
      <c r="C22" s="2" t="s">
        <v>77</v>
      </c>
      <c r="D22" s="2" t="s">
        <v>78</v>
      </c>
      <c r="E22" s="2">
        <v>1</v>
      </c>
      <c r="F22" s="2">
        <v>1</v>
      </c>
      <c r="G22" s="2">
        <v>1</v>
      </c>
      <c r="H22" s="2">
        <v>1</v>
      </c>
      <c r="I22" s="4">
        <v>1</v>
      </c>
      <c r="J22" s="2">
        <v>1</v>
      </c>
      <c r="K22" s="2" t="b">
        <v>0</v>
      </c>
      <c r="L22" s="2">
        <v>3</v>
      </c>
      <c r="M22" s="2">
        <v>0</v>
      </c>
      <c r="N22" s="2">
        <v>0</v>
      </c>
    </row>
    <row r="23" spans="1:14" ht="308" x14ac:dyDescent="0.25">
      <c r="A23" s="2" t="s">
        <v>79</v>
      </c>
      <c r="B23" s="2" t="s">
        <v>52</v>
      </c>
      <c r="C23" s="2" t="s">
        <v>80</v>
      </c>
      <c r="D23" s="2" t="s">
        <v>81</v>
      </c>
      <c r="E23" s="2">
        <v>1</v>
      </c>
      <c r="F23" s="2">
        <v>1</v>
      </c>
      <c r="G23" s="2">
        <v>1</v>
      </c>
      <c r="H23" s="2">
        <v>1</v>
      </c>
      <c r="I23" s="4">
        <v>0.5</v>
      </c>
      <c r="J23" s="2">
        <v>1</v>
      </c>
      <c r="K23" s="2" t="b">
        <v>0</v>
      </c>
      <c r="L23" s="2">
        <v>2</v>
      </c>
      <c r="M23" s="2">
        <v>0</v>
      </c>
      <c r="N23" s="2">
        <v>0</v>
      </c>
    </row>
    <row r="24" spans="1:14" ht="196" x14ac:dyDescent="0.25">
      <c r="A24" s="2" t="s">
        <v>82</v>
      </c>
      <c r="B24" s="2" t="s">
        <v>52</v>
      </c>
      <c r="C24" s="2" t="s">
        <v>83</v>
      </c>
      <c r="D24" s="2" t="s">
        <v>84</v>
      </c>
      <c r="E24" s="2">
        <v>1</v>
      </c>
      <c r="F24" s="2">
        <v>1</v>
      </c>
      <c r="G24" s="2">
        <v>1</v>
      </c>
      <c r="H24" s="2">
        <v>1</v>
      </c>
      <c r="I24" s="4">
        <v>1</v>
      </c>
      <c r="J24" s="2">
        <v>0.66700000000000004</v>
      </c>
      <c r="K24" s="2" t="b">
        <v>0</v>
      </c>
      <c r="L24" s="2">
        <v>1</v>
      </c>
      <c r="M24" s="2">
        <v>1</v>
      </c>
      <c r="N24" s="2">
        <v>0</v>
      </c>
    </row>
    <row r="25" spans="1:14" ht="168" x14ac:dyDescent="0.25">
      <c r="A25" s="2" t="s">
        <v>85</v>
      </c>
      <c r="B25" s="2" t="s">
        <v>86</v>
      </c>
      <c r="C25" s="2" t="s">
        <v>87</v>
      </c>
      <c r="D25" s="2" t="s">
        <v>88</v>
      </c>
      <c r="E25" s="2">
        <v>1</v>
      </c>
      <c r="F25" s="2">
        <v>1</v>
      </c>
      <c r="G25" s="2">
        <v>1</v>
      </c>
      <c r="H25" s="2">
        <v>1</v>
      </c>
      <c r="I25" s="4">
        <v>1</v>
      </c>
      <c r="J25" s="2">
        <v>1</v>
      </c>
      <c r="K25" s="2" t="b">
        <v>0</v>
      </c>
      <c r="L25" s="2">
        <v>2</v>
      </c>
      <c r="M25" s="2">
        <v>0</v>
      </c>
      <c r="N25" s="2">
        <v>0</v>
      </c>
    </row>
    <row r="26" spans="1:14" ht="140" x14ac:dyDescent="0.25">
      <c r="A26" s="2" t="s">
        <v>89</v>
      </c>
      <c r="B26" s="2" t="s">
        <v>86</v>
      </c>
      <c r="C26" s="2" t="s">
        <v>90</v>
      </c>
      <c r="D26" s="2" t="s">
        <v>91</v>
      </c>
      <c r="E26" s="2">
        <v>1</v>
      </c>
      <c r="F26" s="2">
        <v>1</v>
      </c>
      <c r="G26" s="2">
        <v>1</v>
      </c>
      <c r="H26" s="2">
        <v>1</v>
      </c>
      <c r="I26" s="4">
        <v>1</v>
      </c>
      <c r="J26" s="2">
        <v>1</v>
      </c>
      <c r="K26" s="2" t="b">
        <v>0</v>
      </c>
      <c r="L26" s="2">
        <v>1</v>
      </c>
      <c r="M26" s="2">
        <v>0</v>
      </c>
      <c r="N26" s="2">
        <v>0</v>
      </c>
    </row>
    <row r="27" spans="1:14" ht="154" x14ac:dyDescent="0.25">
      <c r="A27" s="2" t="s">
        <v>92</v>
      </c>
      <c r="B27" s="2" t="s">
        <v>86</v>
      </c>
      <c r="C27" s="2" t="s">
        <v>93</v>
      </c>
      <c r="D27" s="2" t="s">
        <v>94</v>
      </c>
      <c r="E27" s="2">
        <v>1</v>
      </c>
      <c r="F27" s="2">
        <v>1</v>
      </c>
      <c r="G27" s="2">
        <v>1</v>
      </c>
      <c r="H27" s="2">
        <v>1</v>
      </c>
      <c r="I27" s="4">
        <v>1</v>
      </c>
      <c r="J27" s="2">
        <v>1</v>
      </c>
      <c r="K27" s="2" t="b">
        <v>0</v>
      </c>
      <c r="L27" s="2">
        <v>1</v>
      </c>
      <c r="M27" s="2">
        <v>0</v>
      </c>
      <c r="N27" s="2">
        <v>0</v>
      </c>
    </row>
    <row r="28" spans="1:14" ht="126" x14ac:dyDescent="0.25">
      <c r="A28" s="2" t="s">
        <v>95</v>
      </c>
      <c r="B28" s="2" t="s">
        <v>86</v>
      </c>
      <c r="C28" s="2" t="s">
        <v>96</v>
      </c>
      <c r="D28" s="2" t="s">
        <v>97</v>
      </c>
      <c r="E28" s="2">
        <v>1</v>
      </c>
      <c r="F28" s="2">
        <v>1</v>
      </c>
      <c r="G28" s="2">
        <v>1</v>
      </c>
      <c r="H28" s="2">
        <v>1</v>
      </c>
      <c r="I28" s="4">
        <v>1</v>
      </c>
      <c r="J28" s="2">
        <v>1</v>
      </c>
      <c r="K28" s="2" t="b">
        <v>0</v>
      </c>
      <c r="L28" s="2">
        <v>1</v>
      </c>
      <c r="M28" s="2">
        <v>0</v>
      </c>
      <c r="N28" s="2">
        <v>0</v>
      </c>
    </row>
    <row r="29" spans="1:14" ht="126" x14ac:dyDescent="0.25">
      <c r="A29" s="2" t="s">
        <v>98</v>
      </c>
      <c r="B29" s="2" t="s">
        <v>86</v>
      </c>
      <c r="C29" s="2" t="s">
        <v>99</v>
      </c>
      <c r="D29" s="2" t="s">
        <v>100</v>
      </c>
      <c r="E29" s="2">
        <v>1</v>
      </c>
      <c r="F29" s="2">
        <v>1</v>
      </c>
      <c r="G29" s="2">
        <v>1</v>
      </c>
      <c r="H29" s="2">
        <v>1</v>
      </c>
      <c r="I29" s="4">
        <v>1</v>
      </c>
      <c r="J29" s="2">
        <v>1</v>
      </c>
      <c r="K29" s="2" t="b">
        <v>0</v>
      </c>
      <c r="L29" s="2">
        <v>1</v>
      </c>
      <c r="M29" s="2">
        <v>0</v>
      </c>
      <c r="N29" s="2">
        <v>0</v>
      </c>
    </row>
    <row r="30" spans="1:14" ht="140" x14ac:dyDescent="0.25">
      <c r="A30" s="2" t="s">
        <v>101</v>
      </c>
      <c r="B30" s="2" t="s">
        <v>86</v>
      </c>
      <c r="C30" s="2" t="s">
        <v>102</v>
      </c>
      <c r="D30" s="2" t="s">
        <v>103</v>
      </c>
      <c r="E30" s="2">
        <v>1</v>
      </c>
      <c r="F30" s="2">
        <v>1</v>
      </c>
      <c r="G30" s="2">
        <v>1</v>
      </c>
      <c r="H30" s="2">
        <v>1</v>
      </c>
      <c r="I30" s="4">
        <v>1</v>
      </c>
      <c r="J30" s="2">
        <v>1</v>
      </c>
      <c r="K30" s="2" t="b">
        <v>0</v>
      </c>
      <c r="L30" s="2">
        <v>3</v>
      </c>
      <c r="M30" s="2">
        <v>0</v>
      </c>
      <c r="N30" s="2">
        <v>0</v>
      </c>
    </row>
    <row r="31" spans="1:14" ht="196" x14ac:dyDescent="0.25">
      <c r="A31" s="2" t="s">
        <v>104</v>
      </c>
      <c r="B31" s="2" t="s">
        <v>86</v>
      </c>
      <c r="C31" s="2" t="s">
        <v>105</v>
      </c>
      <c r="D31" s="2" t="s">
        <v>106</v>
      </c>
      <c r="E31" s="2">
        <v>1</v>
      </c>
      <c r="F31" s="2">
        <v>1</v>
      </c>
      <c r="G31" s="2">
        <v>1</v>
      </c>
      <c r="H31" s="2">
        <v>1</v>
      </c>
      <c r="I31" s="4">
        <v>1</v>
      </c>
      <c r="J31" s="2">
        <v>1</v>
      </c>
      <c r="K31" s="2" t="b">
        <v>0</v>
      </c>
      <c r="L31" s="2">
        <v>3</v>
      </c>
      <c r="M31" s="2">
        <v>0</v>
      </c>
      <c r="N31" s="2">
        <v>0</v>
      </c>
    </row>
    <row r="32" spans="1:14" ht="252" x14ac:dyDescent="0.25">
      <c r="A32" s="2" t="s">
        <v>107</v>
      </c>
      <c r="B32" s="2" t="s">
        <v>86</v>
      </c>
      <c r="C32" s="2" t="s">
        <v>108</v>
      </c>
      <c r="D32" s="2" t="s">
        <v>109</v>
      </c>
      <c r="E32" s="2">
        <v>1</v>
      </c>
      <c r="F32" s="2">
        <v>1</v>
      </c>
      <c r="G32" s="2">
        <v>1</v>
      </c>
      <c r="H32" s="2">
        <v>1</v>
      </c>
      <c r="I32" s="4">
        <v>1</v>
      </c>
      <c r="J32" s="2">
        <v>1</v>
      </c>
      <c r="K32" s="2" t="b">
        <v>0</v>
      </c>
      <c r="L32" s="2">
        <v>3</v>
      </c>
      <c r="M32" s="2">
        <v>0</v>
      </c>
      <c r="N32" s="2">
        <v>0</v>
      </c>
    </row>
    <row r="33" spans="1:15" ht="280" x14ac:dyDescent="0.25">
      <c r="A33" s="2" t="s">
        <v>110</v>
      </c>
      <c r="B33" s="2" t="s">
        <v>86</v>
      </c>
      <c r="C33" s="2" t="s">
        <v>111</v>
      </c>
      <c r="D33" s="2" t="s">
        <v>112</v>
      </c>
      <c r="E33" s="2">
        <v>1</v>
      </c>
      <c r="F33" s="2">
        <v>1</v>
      </c>
      <c r="G33" s="2">
        <v>1</v>
      </c>
      <c r="H33" s="2">
        <v>1</v>
      </c>
      <c r="I33" s="4">
        <v>1</v>
      </c>
      <c r="J33" s="2">
        <v>1</v>
      </c>
      <c r="K33" s="2" t="b">
        <v>0</v>
      </c>
      <c r="L33" s="2">
        <v>3</v>
      </c>
      <c r="M33" s="2">
        <v>0</v>
      </c>
      <c r="N33" s="2">
        <v>0</v>
      </c>
    </row>
    <row r="34" spans="1:15" ht="238" x14ac:dyDescent="0.25">
      <c r="A34" s="2" t="s">
        <v>113</v>
      </c>
      <c r="B34" s="2" t="s">
        <v>86</v>
      </c>
      <c r="C34" s="2" t="s">
        <v>114</v>
      </c>
      <c r="D34" s="2" t="s">
        <v>115</v>
      </c>
      <c r="E34" s="2">
        <v>1</v>
      </c>
      <c r="F34" s="2">
        <v>1</v>
      </c>
      <c r="G34" s="2">
        <v>1</v>
      </c>
      <c r="H34" s="2">
        <v>1</v>
      </c>
      <c r="I34" s="4">
        <v>1</v>
      </c>
      <c r="J34" s="2">
        <v>1</v>
      </c>
      <c r="K34" s="2" t="b">
        <v>0</v>
      </c>
      <c r="L34" s="2">
        <v>3</v>
      </c>
      <c r="M34" s="2">
        <v>0</v>
      </c>
      <c r="N34" s="2">
        <v>0</v>
      </c>
    </row>
    <row r="35" spans="1:15" ht="112" x14ac:dyDescent="0.25">
      <c r="A35" s="2" t="s">
        <v>116</v>
      </c>
      <c r="B35" s="2" t="s">
        <v>86</v>
      </c>
      <c r="C35" s="2" t="s">
        <v>117</v>
      </c>
      <c r="D35" s="2" t="s">
        <v>118</v>
      </c>
      <c r="E35" s="2">
        <v>1</v>
      </c>
      <c r="F35" s="2">
        <v>1</v>
      </c>
      <c r="G35" s="2">
        <v>1</v>
      </c>
      <c r="H35" s="2">
        <v>1</v>
      </c>
      <c r="I35" s="4">
        <v>1</v>
      </c>
      <c r="J35" s="2">
        <v>0.66700000000000004</v>
      </c>
      <c r="K35" s="2" t="b">
        <v>0</v>
      </c>
      <c r="L35" s="2">
        <v>1</v>
      </c>
      <c r="M35" s="2">
        <v>0</v>
      </c>
      <c r="N35" s="2">
        <v>1</v>
      </c>
    </row>
    <row r="36" spans="1:15" ht="336" x14ac:dyDescent="0.25">
      <c r="A36" s="2" t="s">
        <v>119</v>
      </c>
      <c r="B36" s="2" t="s">
        <v>120</v>
      </c>
      <c r="C36" s="2" t="s">
        <v>121</v>
      </c>
      <c r="D36" s="2" t="s">
        <v>122</v>
      </c>
      <c r="E36" s="2">
        <v>0</v>
      </c>
      <c r="F36" s="2">
        <v>1</v>
      </c>
      <c r="G36" s="2">
        <v>1</v>
      </c>
      <c r="H36" s="2">
        <v>0.33333333333333331</v>
      </c>
      <c r="I36" s="4">
        <v>1</v>
      </c>
      <c r="J36" s="2">
        <v>1</v>
      </c>
      <c r="K36" s="2" t="b">
        <v>0</v>
      </c>
      <c r="L36" s="2">
        <v>2</v>
      </c>
      <c r="M36" s="2">
        <v>0</v>
      </c>
      <c r="N36" s="2">
        <v>0</v>
      </c>
    </row>
    <row r="37" spans="1:15" ht="322" x14ac:dyDescent="0.25">
      <c r="A37" s="2" t="s">
        <v>123</v>
      </c>
      <c r="B37" s="2" t="s">
        <v>120</v>
      </c>
      <c r="C37" s="2" t="s">
        <v>124</v>
      </c>
      <c r="D37" s="2" t="s">
        <v>125</v>
      </c>
      <c r="E37" s="2">
        <v>1</v>
      </c>
      <c r="F37" s="2">
        <v>1</v>
      </c>
      <c r="G37" s="2">
        <v>1</v>
      </c>
      <c r="H37" s="2">
        <v>1</v>
      </c>
      <c r="I37" s="4">
        <v>1</v>
      </c>
      <c r="J37" s="2">
        <v>0.8</v>
      </c>
      <c r="K37" s="2" t="b">
        <v>0</v>
      </c>
      <c r="L37" s="2">
        <v>2</v>
      </c>
      <c r="M37" s="2">
        <v>0</v>
      </c>
      <c r="N37" s="2">
        <v>1</v>
      </c>
    </row>
    <row r="38" spans="1:15" ht="409.5" x14ac:dyDescent="0.25">
      <c r="A38" s="2" t="s">
        <v>126</v>
      </c>
      <c r="B38" s="2" t="s">
        <v>120</v>
      </c>
      <c r="C38" s="2" t="s">
        <v>127</v>
      </c>
      <c r="D38" s="2" t="s">
        <v>128</v>
      </c>
      <c r="E38" s="2">
        <v>1</v>
      </c>
      <c r="F38" s="2">
        <v>1</v>
      </c>
      <c r="G38" s="2">
        <v>1</v>
      </c>
      <c r="H38" s="2">
        <v>1</v>
      </c>
      <c r="I38" s="4">
        <v>0.75</v>
      </c>
      <c r="J38" s="2">
        <v>1</v>
      </c>
      <c r="K38" s="2" t="b">
        <v>0</v>
      </c>
      <c r="L38" s="2">
        <v>3</v>
      </c>
      <c r="M38" s="2">
        <v>0</v>
      </c>
      <c r="N38" s="2">
        <v>0</v>
      </c>
    </row>
    <row r="39" spans="1:15" ht="409.5" x14ac:dyDescent="0.25">
      <c r="A39" s="2" t="s">
        <v>129</v>
      </c>
      <c r="B39" s="2" t="s">
        <v>120</v>
      </c>
      <c r="C39" s="2" t="s">
        <v>130</v>
      </c>
      <c r="D39" s="2" t="s">
        <v>131</v>
      </c>
      <c r="E39" s="2">
        <v>1</v>
      </c>
      <c r="F39" s="2">
        <v>1</v>
      </c>
      <c r="G39" s="2">
        <v>1</v>
      </c>
      <c r="H39" s="2">
        <v>1</v>
      </c>
      <c r="I39" s="4">
        <v>0.5</v>
      </c>
      <c r="J39" s="2">
        <v>1</v>
      </c>
      <c r="K39" s="2" t="b">
        <v>0</v>
      </c>
      <c r="L39" s="2">
        <v>2</v>
      </c>
      <c r="M39" s="2">
        <v>0</v>
      </c>
      <c r="N39" s="2">
        <v>0</v>
      </c>
    </row>
    <row r="40" spans="1:15" ht="409.5" x14ac:dyDescent="0.25">
      <c r="A40" s="2" t="s">
        <v>132</v>
      </c>
      <c r="B40" s="2" t="s">
        <v>120</v>
      </c>
      <c r="C40" s="2" t="s">
        <v>133</v>
      </c>
      <c r="D40" s="2" t="s">
        <v>134</v>
      </c>
      <c r="E40" s="2">
        <v>1</v>
      </c>
      <c r="F40" s="2">
        <v>1</v>
      </c>
      <c r="G40" s="2">
        <v>1</v>
      </c>
      <c r="H40" s="2">
        <v>1</v>
      </c>
      <c r="I40" s="4">
        <v>1</v>
      </c>
      <c r="J40" s="2">
        <v>0.66700000000000004</v>
      </c>
      <c r="K40" s="2" t="b">
        <v>0</v>
      </c>
      <c r="L40" s="2">
        <v>2</v>
      </c>
      <c r="M40" s="2">
        <v>1</v>
      </c>
      <c r="N40" s="2">
        <v>1</v>
      </c>
    </row>
    <row r="41" spans="1:15" ht="322" x14ac:dyDescent="0.25">
      <c r="A41" s="2" t="s">
        <v>135</v>
      </c>
      <c r="B41" s="2" t="s">
        <v>120</v>
      </c>
      <c r="C41" s="2" t="s">
        <v>136</v>
      </c>
      <c r="D41" s="2" t="s">
        <v>137</v>
      </c>
      <c r="E41" s="2">
        <v>1</v>
      </c>
      <c r="F41" s="2">
        <v>1</v>
      </c>
      <c r="G41" s="2">
        <v>1</v>
      </c>
      <c r="H41" s="2">
        <v>1</v>
      </c>
      <c r="I41" s="4">
        <v>0.5</v>
      </c>
      <c r="J41" s="2">
        <v>0.8</v>
      </c>
      <c r="K41" s="2" t="b">
        <v>0</v>
      </c>
      <c r="L41" s="2">
        <v>2</v>
      </c>
      <c r="M41" s="2">
        <v>0</v>
      </c>
      <c r="N41" s="2">
        <v>1</v>
      </c>
    </row>
    <row r="42" spans="1:15" ht="350" x14ac:dyDescent="0.25">
      <c r="A42" s="2" t="s">
        <v>138</v>
      </c>
      <c r="B42" s="2" t="s">
        <v>120</v>
      </c>
      <c r="C42" s="2" t="s">
        <v>139</v>
      </c>
      <c r="D42" s="2" t="s">
        <v>140</v>
      </c>
      <c r="E42" s="2">
        <v>1</v>
      </c>
      <c r="F42" s="2">
        <v>1</v>
      </c>
      <c r="G42" s="2">
        <v>1</v>
      </c>
      <c r="H42" s="2">
        <v>1</v>
      </c>
      <c r="I42" s="4">
        <v>1</v>
      </c>
      <c r="J42" s="2">
        <v>0.88900000000000001</v>
      </c>
      <c r="K42" s="2" t="b">
        <v>0</v>
      </c>
      <c r="L42" s="2">
        <v>4</v>
      </c>
      <c r="M42" s="2">
        <v>0</v>
      </c>
      <c r="N42" s="2">
        <v>1</v>
      </c>
    </row>
    <row r="43" spans="1:15" ht="409.5" x14ac:dyDescent="0.25">
      <c r="A43" s="2" t="s">
        <v>141</v>
      </c>
      <c r="B43" s="2" t="s">
        <v>120</v>
      </c>
      <c r="C43" s="2" t="s">
        <v>142</v>
      </c>
      <c r="D43" s="2" t="s">
        <v>143</v>
      </c>
      <c r="E43" s="2">
        <v>0</v>
      </c>
      <c r="F43" s="2">
        <v>0</v>
      </c>
      <c r="G43" s="2">
        <v>0</v>
      </c>
      <c r="H43" s="2">
        <v>0</v>
      </c>
      <c r="I43" s="4">
        <v>0.25</v>
      </c>
      <c r="J43" s="2">
        <v>0.66700000000000004</v>
      </c>
      <c r="K43" s="2" t="b">
        <v>0</v>
      </c>
      <c r="L43" s="2">
        <v>2</v>
      </c>
      <c r="M43" s="2">
        <v>1</v>
      </c>
      <c r="N43" s="2">
        <v>1</v>
      </c>
    </row>
    <row r="44" spans="1:15" ht="42" x14ac:dyDescent="0.25">
      <c r="A44" s="2" t="s">
        <v>144</v>
      </c>
      <c r="B44" s="2" t="s">
        <v>145</v>
      </c>
      <c r="C44" s="2" t="s">
        <v>146</v>
      </c>
      <c r="D44" s="2" t="s">
        <v>147</v>
      </c>
      <c r="J44" s="2">
        <v>1</v>
      </c>
      <c r="K44" s="2" t="b">
        <v>1</v>
      </c>
      <c r="L44" s="2">
        <v>1</v>
      </c>
      <c r="M44" s="2">
        <v>0</v>
      </c>
      <c r="N44" s="2">
        <v>0</v>
      </c>
      <c r="O44" s="2" t="b">
        <v>1</v>
      </c>
    </row>
    <row r="45" spans="1:15" ht="56" x14ac:dyDescent="0.25">
      <c r="A45" s="2" t="s">
        <v>148</v>
      </c>
      <c r="B45" s="2" t="s">
        <v>145</v>
      </c>
      <c r="C45" s="2" t="s">
        <v>146</v>
      </c>
      <c r="D45" s="2" t="s">
        <v>147</v>
      </c>
      <c r="J45" s="2">
        <v>1</v>
      </c>
      <c r="K45" s="2" t="b">
        <v>1</v>
      </c>
      <c r="L45" s="2">
        <v>1</v>
      </c>
      <c r="M45" s="2">
        <v>0</v>
      </c>
      <c r="N45" s="2">
        <v>0</v>
      </c>
      <c r="O45" s="2" t="b">
        <v>1</v>
      </c>
    </row>
    <row r="46" spans="1:15" ht="28" x14ac:dyDescent="0.25">
      <c r="A46" s="2" t="s">
        <v>149</v>
      </c>
      <c r="B46" s="2" t="s">
        <v>145</v>
      </c>
      <c r="C46" s="2" t="s">
        <v>146</v>
      </c>
      <c r="D46" s="2" t="s">
        <v>147</v>
      </c>
      <c r="J46" s="2">
        <v>1</v>
      </c>
      <c r="K46" s="2" t="b">
        <v>1</v>
      </c>
      <c r="L46" s="2">
        <v>1</v>
      </c>
      <c r="M46" s="2">
        <v>0</v>
      </c>
      <c r="N46" s="2">
        <v>0</v>
      </c>
      <c r="O46" s="2" t="b">
        <v>1</v>
      </c>
    </row>
    <row r="47" spans="1:15" ht="70" x14ac:dyDescent="0.25">
      <c r="A47" s="2" t="s">
        <v>150</v>
      </c>
      <c r="B47" s="2" t="s">
        <v>145</v>
      </c>
      <c r="C47" s="2" t="s">
        <v>146</v>
      </c>
      <c r="D47" s="2" t="s">
        <v>147</v>
      </c>
      <c r="J47" s="2">
        <v>1</v>
      </c>
      <c r="K47" s="2" t="b">
        <v>1</v>
      </c>
      <c r="L47" s="2">
        <v>1</v>
      </c>
      <c r="M47" s="2">
        <v>0</v>
      </c>
      <c r="N47" s="2">
        <v>0</v>
      </c>
      <c r="O47" s="2" t="b">
        <v>1</v>
      </c>
    </row>
    <row r="48" spans="1:15" ht="42" x14ac:dyDescent="0.25">
      <c r="A48" s="2" t="s">
        <v>151</v>
      </c>
      <c r="B48" s="2" t="s">
        <v>145</v>
      </c>
      <c r="C48" s="2" t="s">
        <v>146</v>
      </c>
      <c r="D48" s="2" t="s">
        <v>147</v>
      </c>
      <c r="J48" s="2">
        <v>1</v>
      </c>
      <c r="K48" s="2" t="b">
        <v>1</v>
      </c>
      <c r="L48" s="2">
        <v>1</v>
      </c>
      <c r="M48" s="2">
        <v>0</v>
      </c>
      <c r="N48" s="2">
        <v>0</v>
      </c>
      <c r="O48" s="2" t="b">
        <v>1</v>
      </c>
    </row>
    <row r="49" spans="1:15" ht="42" x14ac:dyDescent="0.25">
      <c r="A49" s="2" t="s">
        <v>152</v>
      </c>
      <c r="B49" s="2" t="s">
        <v>145</v>
      </c>
      <c r="C49" s="2" t="s">
        <v>146</v>
      </c>
      <c r="D49" s="2" t="s">
        <v>161</v>
      </c>
      <c r="J49" s="2">
        <v>1</v>
      </c>
      <c r="K49" s="2" t="b">
        <v>1</v>
      </c>
      <c r="L49" s="2">
        <v>1</v>
      </c>
      <c r="M49" s="2">
        <v>0</v>
      </c>
      <c r="N49" s="2">
        <v>0</v>
      </c>
      <c r="O49" s="2" t="b">
        <v>1</v>
      </c>
    </row>
    <row r="50" spans="1:15" ht="42" x14ac:dyDescent="0.25">
      <c r="A50" s="2" t="s">
        <v>153</v>
      </c>
      <c r="B50" s="2" t="s">
        <v>145</v>
      </c>
      <c r="C50" s="2" t="s">
        <v>146</v>
      </c>
      <c r="D50" s="2" t="s">
        <v>161</v>
      </c>
      <c r="J50" s="2">
        <v>1</v>
      </c>
      <c r="K50" s="2" t="b">
        <v>1</v>
      </c>
      <c r="L50" s="2">
        <v>0</v>
      </c>
      <c r="M50" s="2">
        <v>1</v>
      </c>
      <c r="N50" s="2">
        <v>0</v>
      </c>
      <c r="O50" s="2" t="b">
        <v>0</v>
      </c>
    </row>
    <row r="51" spans="1:15" ht="42" x14ac:dyDescent="0.25">
      <c r="A51" s="2" t="s">
        <v>154</v>
      </c>
      <c r="B51" s="2" t="s">
        <v>145</v>
      </c>
      <c r="C51" s="2" t="s">
        <v>146</v>
      </c>
      <c r="D51" s="2" t="s">
        <v>147</v>
      </c>
      <c r="J51" s="2">
        <v>1</v>
      </c>
      <c r="K51" s="2" t="b">
        <v>1</v>
      </c>
      <c r="L51" s="2">
        <v>1</v>
      </c>
      <c r="M51" s="2">
        <v>0</v>
      </c>
      <c r="N51" s="2">
        <v>0</v>
      </c>
      <c r="O51" s="2" t="b">
        <v>1</v>
      </c>
    </row>
    <row r="53" spans="1:15" x14ac:dyDescent="0.25">
      <c r="A53" s="2" t="s">
        <v>155</v>
      </c>
      <c r="E53" s="2">
        <f>AVERAGEIFS(E2:E51,K2:K51,FALSE)</f>
        <v>0.9285714285714286</v>
      </c>
      <c r="F53" s="2">
        <f>AVERAGEIFS(F2:F51,K2:K51,FALSE)</f>
        <v>0.95238095238095233</v>
      </c>
      <c r="G53" s="2">
        <f>AVERAGEIFS(G2:G51,K2:K51,FALSE)</f>
        <v>0.95238095238095233</v>
      </c>
      <c r="H53" s="2">
        <f>AVERAGEIFS(H2:H51,K2:K51,FALSE)</f>
        <v>0.93650793650793651</v>
      </c>
      <c r="I53" s="4">
        <f>AVERAGEIFS(I2:I51,K2:K51,FALSE)</f>
        <v>0.91666666666666663</v>
      </c>
      <c r="J53" s="2">
        <f>AVERAGE(J2:J51)</f>
        <v>0.93610000000000015</v>
      </c>
      <c r="L53" s="2">
        <f>AVERAGE(L2:L51)</f>
        <v>2</v>
      </c>
      <c r="M53" s="2">
        <f>AVERAGE(M2:M51)</f>
        <v>0.1</v>
      </c>
      <c r="N53" s="2">
        <f>AVERAGE(N2:N51)</f>
        <v>0.2</v>
      </c>
    </row>
    <row r="54" spans="1:15" x14ac:dyDescent="0.25">
      <c r="A54" s="2" t="s">
        <v>156</v>
      </c>
      <c r="B54" s="2" t="s">
        <v>16</v>
      </c>
      <c r="E54" s="2">
        <f>AVERAGEIFS(E2:E51,B2:B51,"定义类",K2:K51,FALSE)</f>
        <v>0.91666666666666663</v>
      </c>
      <c r="F54" s="2">
        <f>AVERAGEIFS(F2:F51,B2:B51,"定义类",K2:K51,FALSE)</f>
        <v>0.91666666666666663</v>
      </c>
      <c r="G54" s="2">
        <f>AVERAGEIFS(G2:G51,B2:B51,"定义类",K2:K51,FALSE)</f>
        <v>0.91666666666666663</v>
      </c>
      <c r="H54" s="2">
        <f>AVERAGEIFS(H2:H51,B2:B51,"定义类",K2:K51,FALSE)</f>
        <v>0.91666666666666663</v>
      </c>
      <c r="I54" s="4">
        <f>AVERAGEIFS(I2:I51,B2:B51,"定义类",K2:K51,FALSE)</f>
        <v>1</v>
      </c>
      <c r="J54" s="2">
        <f>AVERAGEIF(B2:B51,"定义类",J2:J51)</f>
        <v>0.93174999999999997</v>
      </c>
      <c r="L54" s="2">
        <f>AVERAGEIF(B2:B51,"定义类",L2:L51)</f>
        <v>2.25</v>
      </c>
      <c r="M54" s="2">
        <f>AVERAGEIF(B2:B51,"定义类",M2:M51)</f>
        <v>0</v>
      </c>
      <c r="N54" s="2">
        <f>AVERAGEIF(B2:B51,"定义类",N2:N51)</f>
        <v>0.33333333333333331</v>
      </c>
    </row>
    <row r="55" spans="1:15" ht="28" x14ac:dyDescent="0.25">
      <c r="A55" s="2" t="s">
        <v>157</v>
      </c>
      <c r="B55" s="2" t="s">
        <v>52</v>
      </c>
      <c r="E55" s="2">
        <f>AVERAGEIFS(E2:E51,B2:B51,"方法细节类",K2:K51,FALSE)</f>
        <v>1</v>
      </c>
      <c r="F55" s="2">
        <f>AVERAGEIFS(F2:F51,B2:B51,"方法细节类",K2:K51,FALSE)</f>
        <v>1</v>
      </c>
      <c r="G55" s="2">
        <f>AVERAGEIFS(G2:G51,B2:B51,"方法细节类",K2:K51,FALSE)</f>
        <v>1</v>
      </c>
      <c r="H55" s="2">
        <f>AVERAGEIFS(H2:H51,B2:B51,"方法细节类",K2:K51,FALSE)</f>
        <v>1</v>
      </c>
      <c r="I55" s="4">
        <f>AVERAGEIFS(I2:I51,B2:B51,"方法细节类",K2:K51,FALSE)</f>
        <v>0.86363636363636365</v>
      </c>
      <c r="J55" s="2">
        <f>AVERAGEIF(B2:B51,"方法细节类",J2:J51)</f>
        <v>0.92127272727272713</v>
      </c>
      <c r="L55" s="2">
        <f>AVERAGEIF(B2:B51,"方法细节类",L2:L51)</f>
        <v>2.2727272727272729</v>
      </c>
      <c r="M55" s="2">
        <f>AVERAGEIF(B2:B51,"方法细节类",M2:M51)</f>
        <v>0.18181818181818182</v>
      </c>
      <c r="N55" s="2">
        <f>AVERAGEIF(B2:B51,"方法细节类",N2:N51)</f>
        <v>0</v>
      </c>
    </row>
    <row r="56" spans="1:15" ht="28" x14ac:dyDescent="0.25">
      <c r="A56" s="2" t="s">
        <v>158</v>
      </c>
      <c r="B56" s="2" t="s">
        <v>86</v>
      </c>
      <c r="E56" s="2">
        <f>AVERAGEIFS(E2:E51,B2:B51,"实验结果类",K2:K51,FALSE)</f>
        <v>1</v>
      </c>
      <c r="F56" s="2">
        <f>AVERAGEIFS(F2:F51,B2:B51,"实验结果类",K2:K51,FALSE)</f>
        <v>1</v>
      </c>
      <c r="G56" s="2">
        <f>AVERAGEIFS(G2:G51,B2:B51,"实验结果类",K2:K51,FALSE)</f>
        <v>1</v>
      </c>
      <c r="H56" s="2">
        <f>AVERAGEIFS(H2:H51,B2:B51,"实验结果类",K2:K51,FALSE)</f>
        <v>1</v>
      </c>
      <c r="I56" s="4">
        <f>AVERAGEIFS(I2:I51,B2:B51,"实验结果类",K2:K51,FALSE)</f>
        <v>1</v>
      </c>
      <c r="J56" s="2">
        <f>AVERAGEIF(B2:B51,"实验结果类",J2:J51)</f>
        <v>0.96972727272727266</v>
      </c>
      <c r="L56" s="2">
        <f>AVERAGEIF(B2:B51,"实验结果类",L2:L51)</f>
        <v>2</v>
      </c>
      <c r="M56" s="2">
        <f>AVERAGEIF(B2:B51,"实验结果类",M2:M51)</f>
        <v>0</v>
      </c>
      <c r="N56" s="2">
        <f>AVERAGEIF(B2:B51,"实验结果类",N2:N51)</f>
        <v>9.0909090909090912E-2</v>
      </c>
    </row>
    <row r="57" spans="1:15" ht="28" x14ac:dyDescent="0.25">
      <c r="A57" s="2" t="s">
        <v>159</v>
      </c>
      <c r="B57" s="2" t="s">
        <v>120</v>
      </c>
      <c r="E57" s="2">
        <f>AVERAGEIFS(E2:E51,B2:B51,"跨论文比较类",K2:K51,FALSE)</f>
        <v>0.75</v>
      </c>
      <c r="F57" s="2">
        <f>AVERAGEIFS(F2:F51,B2:B51,"跨论文比较类",K2:K51,FALSE)</f>
        <v>0.875</v>
      </c>
      <c r="G57" s="2">
        <f>AVERAGEIFS(G2:G51,B2:B51,"跨论文比较类",K2:K51,FALSE)</f>
        <v>0.875</v>
      </c>
      <c r="H57" s="2">
        <f>AVERAGEIFS(H2:H51,B2:B51,"跨论文比较类",K2:K51,FALSE)</f>
        <v>0.79166666666666663</v>
      </c>
      <c r="I57" s="4">
        <f>AVERAGEIFS(I2:I51,B2:B51,"跨论文比较类",K2:K51,FALSE)</f>
        <v>0.75</v>
      </c>
      <c r="J57" s="2">
        <f>AVERAGEIF(B2:B51,"跨论文比较类",J2:J51)</f>
        <v>0.85287499999999994</v>
      </c>
      <c r="L57" s="2">
        <f>AVERAGEIF(B2:B51,"跨论文比较类",L2:L51)</f>
        <v>2.375</v>
      </c>
      <c r="M57" s="2">
        <f>AVERAGEIF(B2:B51,"跨论文比较类",M2:M51)</f>
        <v>0.25</v>
      </c>
      <c r="N57" s="2">
        <f>AVERAGEIF(B2:B51,"跨论文比较类",N2:N51)</f>
        <v>0.625</v>
      </c>
    </row>
    <row r="58" spans="1:15" ht="28" x14ac:dyDescent="0.25">
      <c r="A58" s="2" t="s">
        <v>160</v>
      </c>
      <c r="B58" s="2" t="s">
        <v>145</v>
      </c>
      <c r="E58" s="2" t="e">
        <f>AVERAGEIFS(E2:E51,B2:B51,"不可回答类",K2:K51,FALSE)</f>
        <v>#DIV/0!</v>
      </c>
      <c r="F58" s="2" t="e">
        <f>AVERAGEIFS(F2:F51,B2:B51,"不可回答类",K2:K51,FALSE)</f>
        <v>#DIV/0!</v>
      </c>
      <c r="G58" s="2" t="e">
        <f>AVERAGEIFS(G2:G51,B2:B51,"不可回答类",K2:K51,FALSE)</f>
        <v>#DIV/0!</v>
      </c>
      <c r="H58" s="2" t="e">
        <f>AVERAGEIFS(H2:H51,B2:B51,"不可回答类",K2:K51,FALSE)</f>
        <v>#DIV/0!</v>
      </c>
      <c r="I58" s="4" t="e">
        <f>AVERAGEIFS(I2:I51,B2:B51,"不可回答类",K2:K51,FALSE)</f>
        <v>#DIV/0!</v>
      </c>
      <c r="J58" s="2">
        <f>AVERAGEIF(B2:B51,"不可回答类",J2:J51)</f>
        <v>1</v>
      </c>
      <c r="L58" s="2">
        <f>AVERAGEIF(B2:B51,"不可回答类",L2:L51)</f>
        <v>0.875</v>
      </c>
      <c r="M58" s="2">
        <f>AVERAGEIF(B2:B51,"不可回答类",M2:M51)</f>
        <v>0.125</v>
      </c>
      <c r="N58" s="2">
        <f>AVERAGEIF(B2:B51,"不可回答类",N2:N51)</f>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家熙 刘</cp:lastModifiedBy>
  <dcterms:created xsi:type="dcterms:W3CDTF">2026-06-02T08:44:10Z</dcterms:created>
  <dcterms:modified xsi:type="dcterms:W3CDTF">2026-06-02T15:02:30Z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78f98ce6-0bd9-4fea-9155-4b25cf4ca376</vt:lpwstr>
  </property>
</Properties>
</file>