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rag_project\code\"/>
    </mc:Choice>
  </mc:AlternateContent>
  <xr:revisionPtr revIDLastSave="0" documentId="13_ncr:1_{65A324AC-100C-4897-B363-21957C297D92}"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<sst xmlns="http://schemas.openxmlformats.org/spreadsheetml/2006/main" count="226" uniqueCount="162">
  <si>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</si>
  <si>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</si>
  <si>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</si>
  <si>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</si>
  <si>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</si>
  <si>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</si>
  <si>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</si>
  <si>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</si>
  <si>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</si>
  <si>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</si>
  <si>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</si>
  <si>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</si>
  <si>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</si>
  <si>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</si>
  <si>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</si>
  <si>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</si>
  <si>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</si>
  <si>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</si>
  <si>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作者将post-training scaling分为三个主要方法：监督微调（Supervised Fine-tuning）、强化学习（Reinforcement Learning）和测试时计算（Test-time Compute）。
来自: [2025.acl-long.140_A Survey of Post-Training Scaling in Large Language Models, 第2页, 2025.acl-long.140_A Survey of Post-Training Scaling in Large Language Models_chunk_005]</t>
  </si>
  <si>
    <t>在SafeRAG中"silver noise"的定义是什么？</t>
  </si>
  <si>
    <t>首先，我们定义了“银色噪声”，它指的是仅部分包含答案的证据文本。此类噪声能够绕过大多数安全过滤机制，从而削弱 RAG 的多样性。</t>
  </si>
  <si>
    <t>Silver noise 是指包含部分但不完整答案的噪声。
来自: [2025.acl-long.230_SafeRAG, 第4页, 2025.acl-long.230_SafeRAG_chunk_009]</t>
  </si>
  <si>
    <t>RAG噪声被分为哪两类？</t>
  </si>
  <si>
    <t>RAG噪声被分为有益噪声和有害噪声。</t>
  </si>
  <si>
    <t>RAG噪声被分为有益噪声（beneficial noise）和有害噪声（harmful noise）两类。
来自: [2025.acl-long.250_Pandora s Box or Aladdin s Lamp, 第2页, 2025.acl-long.250_Pandora s Box or Aladdin s Lamp_chunk_005]</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</si>
  <si>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</si>
  <si>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</si>
  <si>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Ref-Long是一个新颖的基准，旨在评估长上下文语言模型的长上下文引用能力，即要求模型不仅检索关键信息，还要识别出在长上下文中引用该关键信息的具体文档索引。
来自: [2025.acl-long.1162_Ref-Long, 第2页, 2025.acl-long.1162_Ref-Long_chunk_002] 和 [2025.acl-long.1162_Ref-Long, 第3页, 2025.acl-long.1162_Ref-Long_chunk_006]</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</si>
  <si>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</si>
  <si>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</si>
  <si>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SYNQA是一种生成式策略，通过给定选定的上下文句子，让大型语言模型生成由这些句子支持的问题-答案对，以合成上下文归因数据。
来自: [2025.acl-long.828_On Synthesizing Data for Context Attribution in Question Answering, 第1页, 2025.acl-long.828_On Synthesizing Data for Context Attribution in Question Answering_chunk_001]</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</si>
  <si>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</si>
  <si>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</si>
  <si>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AgenticLU是一个通过集成有针对性的自我澄清与上下文grounding的代理工作流来增强LLM对长上下文查询理解的框架，其核心是Chain-of-Clarifications (CoC)，模型通过自我生成的澄清问题和相应的上下文grounding来完善理解。
来自: [Self-Taught Agentic Long Context Understanding, 第1页, 2025.acl-long.275_Self-Taught Agentic Long Context Understanding_chunk_000]</t>
  </si>
  <si>
    <t>什么是Agentic Reasoning框架?</t>
  </si>
  <si>
    <t>Agentic Reasoning是一个通过集成外部工具使用代理来增强大型语言模型推理的框架。</t>
  </si>
  <si>
    <t>Agentic Reasoning是一个通过集成外部基于LLM的代理作为工具来增强推理的框架，允许LLM在推理过程中将特定任务委派给辅助代理，从而提高整体问题解决能力。
来自: [2025.acl-long.1383_Agentic Reasoning, 第2页, 2025.acl-long.1383_Agentic Reasoning_chunk_003]</t>
  </si>
  <si>
    <t>REAL-MM-RAG 基准测试旨在解决现实世界检索的四个关键属性是什么？</t>
  </si>
  <si>
    <t xml:space="preserve"> REAL-MM-RAG基准测试的四个关键属性是：(i) 多模态文档，(ii) 增强的难度，(iii) 真实的RAG查询，(iv) 准确的标注。</t>
  </si>
  <si>
    <t>REAL-MM-RAG 基准测试旨在解决现实世界检索的四个关键属性是：(i) 多模态文档，(ii) 增强的难度，(iii) 现实的 RAG 查询，以及 (iv) 准确的标注。
来自: [2025.acl-long.1528_REAL-MM-RAG, 第1页, 2025.acl-long.1528_REAL-MM-RAG_chunk_000]</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</si>
  <si>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</si>
  <si>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</si>
  <si>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ASTUTE RAG是一种新颖的检索增强生成方法，旨在通过自适应提取LLM内部知识、迭代整合内外部知识并评估信息可靠性，来克服不完美检索增强和知识冲突，从而提升回答的鲁棒性和可信度。
来自: [2025.acl-long.1476_Astute RAG, 第2页, 2025.acl-long.1476_Astute RAG_chunk_004] 和 [2025.acl-long.1476_Astute RAG, 第1页, 2025.acl-long.1476_Astute RAG_chunk_000]</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</si>
  <si>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</si>
  <si>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</si>
  <si>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L-CiteEval是一个开箱即用的评估套件，用于评估长上下文理解任务中的生成质量和忠实度。
来自: [2025.acl-long.263_L-CiteEval, 第1页, 2025.acl-long.263_L-CiteEval_chunk_000]</t>
  </si>
  <si>
    <t xml:space="preserve"> LongBench v2基准测试包含多少个问题？上下文长度范围是多少？</t>
  </si>
  <si>
    <t>LongBench v2包含503个具有挑战性的多项选择题，上下文长度范围从8,000到200万个单词。</t>
  </si>
  <si>
    <t>LongBench v2包含503个多项选择题，上下文长度范围从8k到2M词。
来自: [2025.acl-long.183_LongBench v2, 第1页, 2025.acl-long.183_LongBench v2_chunk_002]</t>
  </si>
  <si>
    <t>RHIO框架的三个主要组成部分是什么？</t>
  </si>
  <si>
    <t>RHIO框架包含三个主要组件：1.不忠实数据增强, 2.忠实度感知调优, 3.自诱导解码</t>
  </si>
  <si>
    <t>RHIO框架的三个主要组成部分是：不忠实数据增强（Unfaithful Data Augmentation）、忠实性感知微调（Faithfulness-Aware Tuning）和自我诱导解码（Self-Induced Decoding）。
来自: [2025.acl-long.826_Improving Contextual Faithfulness of Large Language Models via Retrieval Heads-Induced Optimization, 第15页, 2025.acl-long.826_Improving Contextual Faithfulness of Large Language Models via Retrieval Heads-Induced Optimization_chunk_030]</t>
  </si>
  <si>
    <t>在How to Train Long-Context Language Models中的监督微调（SFT）阶段，论文作者发现使用哪种类型的数据集能够在长上下文任务上取得最佳性能？</t>
  </si>
  <si>
    <t>方法细节类</t>
  </si>
  <si>
    <t>作者发现，仅使用标准的、短上下文的指令数据集（如 UltraChat）进行微调，就能在长上下文任务上取得最佳效果。</t>
  </si>
  <si>
    <t>作者发现，使用标准的短上下文指令数据集（standard, short-context instruction datasets）就足以在长上下文任务上取得良好性能，而长的合成指令数据并不能进一步提升性能。
来自: [2025.acl-long.366_How to Train Long-Context Language Models (Effectively), 第1页, 2025.acl-long.366_How to Train Long-Context Language Models (Effectively)_chunk_002]</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</si>
  <si>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</si>
  <si>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</si>
  <si>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ASTUTE RAG的三个主要步骤是：自适应生成内部知识、源感知知识整合和答案最终化。
来自: [2025.acl-long.1476_Astute RAG, 第4页, 2025.acl-long.1476_Astute RAG_chunk_008]</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</si>
  <si>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</si>
  <si>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</si>
  <si>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LongRefiner 通过将推理过程拆分为离线阶段和在线阶段来降低在线延迟。离线阶段预先对语料库中的文档执行层次化文档结构化任务；在线阶段仅需处理用户查询分析及自适应细化，由于在线阶段只涉及数百个输入 token 和数十个输出 token 的处理，整体延迟仅为标准设置的约 25%。
来自: [2025.acl-long.176_Hierarchical Document Refinement for Long-context Retrieval-augmented Generation, 第6页, 2025.acl-long.176_Hierarchical Document Refinement for Long-context Retrieval-augmented Generation_chunk_013]</t>
  </si>
  <si>
    <t>DRAG框架如何保护用户隐私？请描述其隐私保护机制。</t>
  </si>
  <si>
    <t>DRAG通过传输去标识化的查询和结构化知识而不是完整响应来保护用户隐私。这样可以避免传输完整的用户查询和敏感信息。</t>
  </si>
  <si>
    <t>DRAG框架通过本地小模型先对查询进行改写以剥离敏感信息，再将去标识化的查询发送至云端大模型，云端仅返回证据和知识图谱而非直接答案，最后由本地模型基于这些结构化知识生成最终回答，从而避免私有数据直接暴露给云端，保护用户隐私。
来自: [2025.acl-long.358_DRAG, 第5页, 2025.acl-long.358_DRAG_chunk_010]</t>
  </si>
  <si>
    <t>简述 Think&amp; Cite 框架中 SG-MCTS 的工作流程及其步骤。</t>
  </si>
  <si>
    <t>SG-MCTS利用LLMs的自反思能力来推理MCTS的中间状态，以指导树扩展过程。在每次迭代中，SG-MCTS 遵循四个步骤，即选择、反思引导的扩展、评估和反向传播。</t>
  </si>
  <si>
    <t>SG-MCTS 的工作流程在每次迭代中包含四个阶段：选择、反思引导的扩展、评估和反向传播。选择阶段利用 UCT 算法从搜索树中选出最优节点；反思引导的扩展阶段通过“思考-反思-表达-引用”的迭代过程生成下一句并为其引用证据，同时利用 LLM 的自我反思能力实时批评和修正中间状态，避免错误路径；评估阶段采用进度奖励模型，从生成进度和归因进度两方面计算新节点的期望奖励；反向传播阶段将奖励沿路径回传以更新节点统计信息。
来自: [2025.acl-long.490_Think&amp;Cite, 第3页, 2025.acl-long.490_Think&amp;Cite_chunk_006] 和 [2025.acl-long.490_Think&amp;Cite, 第4页, 2025.acl-long.490_Think&amp;Cite_chunk_008]</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</si>
  <si>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</si>
  <si>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</si>
  <si>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SETR 的段落选择提示引导的关键过程包含三个步骤：  
1. 枚举回答查询所需的关键信息需求；  
2. 为每个信息需求识别包含相关信息的段落；  
3. 选择一组段落，使其共同提供最全面、多样化的信息覆盖，以有效回答查询。  
来自: [2025.acl-long.861_Shifting from Ranking to Set Selection for Retrieval Augmented Generation, 第3页, 2025.acl-long.861_Shifting from Ranking to Set Selection for Retrieval Augmented Generation_chunk_006]</t>
  </si>
  <si>
    <t>Meta-Bench基准测试中，α参数的最优范围是多少？这个参数的作用是什么？</t>
  </si>
  <si>
    <t>α参数的最优范围在0.65到0.8之间。这个参数用于平衡工具描述和参数描述在工具检索中的权重。</t>
  </si>
  <si>
    <t>在Meta-Bench基准测试中，α参数的最优范围是0.65到0.8。该参数的作用是平衡工具描述和参数描述在工具检索中的权重，以提升检索的整体效果。
来自: [2025.acl-long.1481_Meta-Tool, 第20页, 2025.acl-long.1481_Meta-Tool_chunk_033]</t>
  </si>
  <si>
    <t>CypherBench 是如何从 RDF 图生成领域特定属性图的？</t>
  </si>
  <si>
    <t>CypherBench 通过将 RDF 图转换为多个领域特定的属性图（domain-specific property graphs）来实现这一过程，并使用 Cypher 语言对其进行查询。</t>
  </si>
  <si>
    <t>CypherBench 首先选择一个领域，手动策划该领域的属性图模式，并建立从 Wikidata 模式到该模式的映射（识别相关的实体类型、关系类型和属性，找到对应的 Wikidata 标识符）。然后，通过执行 SPARQL 查询并聚合结果，将 RDF 数据转换为属性图视图，转换层同时处理数据类型转换和单位标准化，生成模式强制、严格类型的数据。
来自: [2025.acl-long.438_CypherBench, 第4页, 2025.acl-long.438_CypherBench_chunk_007]</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</si>
  <si>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</si>
  <si>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</si>
  <si>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ClinRaGen的三阶段理由蒸馏范式依次为：第一阶段从医疗笔记中蒸馏理由，使小语言模型建立对文本临床信息的基础理解；第二阶段引入知识增强注意力，将数值实验室测试与结构化医学知识对齐，蒸馏基于实验室测试的理由；第三阶段完全整合文本与数值输入，生成临床连贯的多模态理由。
来自: [2025.acl-long.540_Knowledge-Augmented Multimodal Clinical Rationale Generation for Disease Diagnosis with Small Language Models, 第4页, 2025.acl-long.540_Knowledge-Augmented Multimodal Clinical Rationale Generation for Disease Diagnosis with Small Language Models_chunk_008]</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</si>
  <si>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</si>
  <si>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</si>
  <si>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QAEncoder采用查询中心的方法，通过为每个文档生成多样化查询（如5W1H），用蒙特卡洛方法估计潜在查询的簇中心，并以此作为文档的替代嵌入，从而弥合文档-查询差距。同时，引入文档指纹策略，重新注入文档的独特身份，以保持文档可区分性。
来自: [2025.acl-long.217_QAEncoder, 第1页, 2025.acl-long.217_QAEncoder_chunk_003]
来自: [2025.acl-long.217_QAEncoder, 第2页, 2025.acl-long.217_QAEncoder_chunk_004]</t>
  </si>
  <si>
    <t>在 HALOGEN 的文本简化任务中，如何验证模型生成的简化文本是否忠实于原文？</t>
  </si>
  <si>
    <t>先用 GPT-3.5-turbo 将简化文本分解为独立的原子事实，再用 Llama-2-70B-chat 判断每个原子事实是否被原文蕴含。</t>
  </si>
  <si>
    <t>在文本简化任务中，HALOGEN 采用与摘要任务相同的验证流程：先用 GPT-3.5 将模型生成的简化文本分解为独立的原子事实，再用 Llama-2-70B 对每个原子事实进行蕴含判断，以确定其是否忠实于原文。
来自: [2025.acl-long.71_HALoGEN, 第3页, 2025.acl-long.71_HALoGEN_chunk_006]</t>
  </si>
  <si>
    <t>在"CiteEval"论文中，GPT-4o和Llama-3-70B在Cited scenario和Full scenario下的表现有何差异？</t>
  </si>
  <si>
    <t>实验结果类</t>
  </si>
  <si>
    <t>在Cited scenario下，GPT-4o表现最佳，Llama-3-70B与GPT-4o-mini相当；在Full scenario下，Llama-3-70B超越GPT-4o，取得最佳性能。</t>
  </si>
  <si>
    <t>在Cited scenario中，GPT-4o是表现最好的模型，而Llama-3-70B与GPT-4o-mini相当；在Full scenario中，Llama-3-70B优于GPT-4o并取得最佳性能。
来自: [2025.acl-long.1574_CiteEval, 第7页, 2025.acl-long.1574_CiteEval_chunk_018]</t>
  </si>
  <si>
    <t>"FaithfulRAG"在FaithEval数据集上使用Mistral-7B作为backbone时的准确率是多少？相比最强基线提高了多少？</t>
  </si>
  <si>
    <t>81.7%，比最强基线(KRE的73.2%)提高了8.5%。</t>
  </si>
  <si>
    <t>FaithfulRAG 在 FaithEval 数据集上使用 Mistral-7B 作为 backbone 时的准确率为 81.7%，相比最强基线（KRE 的 73.2%）提高了 8.5%。
来自: [2025.acl-long.1062_FaithfulRAG, 第7页, 2025.acl-long.1062_FaithfulRAG_chunk_019]</t>
  </si>
  <si>
    <t>RankCoT 相对于 vanilla RAG 模型的表现如何？这说明了什么？</t>
  </si>
  <si>
    <t>RankCoT 相比 vanilla RAG 模型有 2.5% 的提升，表明它在提供更有意义的细化方面有效，有助于 LLM 更好地回答问题。</t>
  </si>
  <si>
    <t>RankCoT 在多个数据集上的平均准确率比 vanilla RAG 提升了约 2.5%（例如从 52.65 提升至 54.93），这表明 RankCoT 能够生成更精炼的知识，有效保留关键信息并减少噪声干扰，从而帮助大语言模型更准确地回答问题。
来自: [2025.acl-long.629_RankCoT, 第6页, 2025.acl-long.629_RankCoT_chunk_018] 和 [2025.acl-long.629_RankCoT, 第9页, 2025.acl-long.629_RankCoT_chunk_025]</t>
  </si>
  <si>
    <t>在 HALoGEN 基准测试中，表现最好的 LLM 生成事实的幻觉率范围是多少？</t>
  </si>
  <si>
    <t>实验发现，即使是表现最好的 LLM，其生成事实的幻觉率也在 3% 到 86% 之间，具体数值取决于所属领域。</t>
  </si>
  <si>
    <t>在 HALoGEN 基准测试中，表现最好的 LLM（GPT-4）生成事实的幻觉率范围是 3% 到 86%，具体取决于任务。
来自: [2025.acl-long.71_HALoGEN, 第1页, 2025.acl-long.71_HALoGEN_chunk_001]</t>
  </si>
  <si>
    <t xml:space="preserve"> 在LongBench v2基准测试中，人类专家在15分钟时间限制下的准确率是多少？</t>
  </si>
  <si>
    <t>人类专家在15分钟时间限制下的准确率为53.7%。</t>
  </si>
  <si>
    <t>人类专家在15分钟时间限制下的准确率为53.7%。
来自: [2025.acl-long.183_LongBench v2, 第1页, 2025.acl-long.183_LongBench v2_chunk_000]</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</si>
  <si>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</si>
  <si>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</si>
  <si>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AGENTSTAR在WebShop上比GPT-4-Turbo高61.00分，在ALFWorld上高20.50分，在BabyAI上高9.87分。
来自: [2025.acl-long.1355_AgentGym, 第7页, 2025.acl-long.1355_AgentGym_chunk_020]</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</si>
  <si>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</si>
  <si>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</si>
  <si>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在Humanity's Last Exam数据集上，Agentic Reasoning与DeepSeek-R1结合后准确率达到23.8%，相比基础模型DeepSeek-R1（9.4%）提升了14.4个百分点。与OpenAI Deep Research（26.6%）的差距缩小至仅2.8%。
来自: [2025.acl-long.1383_Agentic Reasoning, 第1页, 2025.acl-long.1383_Agentic Reasoning_chunk_002]</t>
  </si>
  <si>
    <t>在GAIA基准测试中，Agentic Reasoning在不同级别任务上的表现如何？</t>
  </si>
  <si>
    <t>在GAIA基准测试中，Agentic Reasoning在Level 1和Level 2任务上超越了OpenAI的Deep Research，在Level 3任务上将差距缩小到2.26%。</t>
  </si>
  <si>
    <t>在GAIA基准测试中，Agentic Reasoning在Level 1、Level 2和Level 3上的准确率分别为74.36%、69.21%和45.46%，平均分为66.13%。该方法在Level 1和Level 2任务上超越了OpenAI的Deep Research，并在Level 3上将其差距缩小至2.26%。
来自: [2025.acl-long.1383_Agentic Reasoning, 第5页, 2025.acl-long.1383_Agentic Reasoning_chunk_010]</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</si>
  <si>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</si>
  <si>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</si>
  <si>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在Asclepius基准测试中，人类医生在所有专科的诊断准确性上均优于Med-MLLMs。初级医生的平均准确率为57.4%，已超过最先进的Med-MLLM GPT-4V（54.3%）；人类医生的平均准确率范围在0.538至0.641之间，所有Med-MLLMs的平均准确率均低于此范围，但GPT-4V的表现最接近人类医生，甚至以0.005的微弱优势超过了个别医生。
来自: [2025.acl-long.1178_Asclepius, 第7页, 2025.acl-long.1178_Asclepius_chunk_016]
来自: [2025.acl-long.1178_Asclepius, 第14页, 2025.acl-long.1178_Asclepius_chunk_022]</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</si>
  <si>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</si>
  <si>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</si>
  <si>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在LongDocURL基准测试中，GPT-4o以64.5分的成绩位居所有模型之首，是唯一达到及格标准的模型。开源模型整体表现较弱，其中Qwen2-VL得分30.6，LLaVA-OneVision得分22.0和25.0，其余开源模型得分均低于20分。
来自: [2025.acl-long.57_LongDocURL, 第6页, 2025.acl-long.57_LongDocURL_chunk_013]
来自: [2025.acl-long.57_LongDocURL, 第2页, 2025.acl-long.57_LongDocURL_chunk_003]</t>
  </si>
  <si>
    <t>RAGEval 提出的自动评估指标与人工评估的一致性如何？</t>
  </si>
  <si>
    <t>实验结果表明，RAGEval 的机器自动评估与人工评估在所有指标上均表现出高度一致性。两者之间的最终绝对差异仅为 1.67%。</t>
  </si>
  <si>
    <t>RAGEval 使用 LLM 对提出的指标进行评分，与人工评估表现出高度一致性。
来自: [2025.acl-long.418_RAGEval, 第1页, 2025.acl-long.418_RAGEval_chunk_000]</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</si>
  <si>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</si>
  <si>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</si>
  <si>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</si>
  <si>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Astute RAG 采用“自适应生成内部知识”（adaptive generation of internal knowledge）模块，通过 LLM 直接生成内部段落。FaithfulRAG 采用“Self-Fact Mining”（自我事实挖掘）模块，通过 Self-Knowledge Extraction、Self-Context Generation 和 Self-Fact Extraction 三个层次化步骤提取内部知识。
来自: [2025.acl-long.1476_Astute RAG, 第4页, 2025.acl-long.1476_Astute RAG_chunk_008]  
来自: [2025.acl-long.1062_FaithfulRAG, 第4页, 2025.acl-long.1062_FaithfulRAG_chunk_010]</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</si>
  <si>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</si>
  <si>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</si>
  <si>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UniRAG 的核心创新在于将查询增强与查询编码统一到一个解码器仅大语言模型中，消除了任务分离带来的信息割裂和累积误差，并通过分类现有增强技术（改写、扩展、抽象）让模型根据用户查询自适应选择最优增强策略。  
FaithfulRAG 的核心创新则聚焦于查询理解中的知识冲突处理：通过自事实挖掘将模型对查询的参数化知识具体化为事实级别，再与检索上下文对齐以定位冲突，并设计自思考模块使模型在生成前推理和整合冲突事实，从而在保持忠实的同时避免盲目压制参数知识或错误接受上下文。
来自: [2025.acl-long.693_UniRAG, 第1页, 2025.acl-long.693_UniRAG_chunk_000]  
来自: [2025.acl-long.1062_FaithfulRAG, 第9页, 2025.acl-long.1062_FaithfulRAG_chunk_025]  
来自: [2025.acl-long.1062_FaithfulRAG, 第2页, 2025.acl-long.1062_FaithfulRAG_chunk_005]</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</si>
  <si>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</si>
  <si>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</si>
  <si>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MEMERAG和DragonBall都是面向RAG系统的多语言评估基准，但侧重点和评估维度不同。  
**相同点**：两者均包含多语言数据（MEMERAG覆盖英、德、西、法、印地语；DragonBall覆盖中英文），都通过人工标注或评估来保证答案质量。  
**不同点**：  
- **构建方式**：MEMERAG基于MIRACL的母语问题扩展，避免翻译偏见；DragonBall由RAGEval框架自动生成，聚焦金融、法律、医疗等特定场景。  
- **用途**：MEMERAG是元评估基准，用于检验自动评估器与人类判断的一致性；DragonBall是直接评估RAG系统检索与生成性能的基准。  
- **评估维度**：MEMERAG关注**Faithfulness（忠实性）**和**Relevance（相关性）**；DragonBall关注**Completeness（完整性）、Hallucination（幻觉）和Irrelevance（不相关性）**（以及检索指标Recall、EIR）。
来自: [2025.acl-long.1101_MEMERAG, 第3页, 2025.acl-long.1101_MEMERAG_chunk_007]；[2025.acl-long.1101_MEMERAG, 第1页, 2025.acl-long.1101_MEMERAG_chunk_002]；[2025.acl-long.418_RAGEval, 第4页, 2025.acl-long.418_RAGEval_chunk_008]；[2025.acl-long.418_RAGEval, 第2页, 2025.acl-long.418_RAGEval_chunk_002]</t>
  </si>
  <si>
    <t>SYNQA 和 RHIO 分别通过什么方式生成训练数据？这两种数据生成策略在提升模型归因能力上有什么不同？</t>
  </si>
  <si>
    <t>SYNQA：通过 LLM 生成式合成完全受上下文支持的 QA 对（正样本），用于微调小模型的归因能力。
RHIO：通过选择性掩码检索头，让 LLM 自身生成模拟真实错误的不忠实样本（负样本），并与忠实样本进行联合训练。</t>
  </si>
  <si>
    <t>SYNQA 通过给定 Wikipedia 句子，让 LLM 生成完全由这些句子支持的问答对来构建训练数据；RHIO 则通过选择性遮蔽检索头，生成模拟模型内在错误的不忠实样本作为训练数据。  
两种策略在提升归因能力上的不同在于：SYNQA 生成的是正向的、句子级支持证据明确的归因数据，用于微调小型模型，直接提升证据归因的精确性和跨域泛化能力；RHIO 生成的是负向的不忠实样本，通过联合训练和对比解码让模型学会区分忠实与不忠实的输出，从而提升生成内容对上下文的忠实性。
来自: [2025.acl-long.828_On Synthesizing Data for Context Attribution in Question Answering, 第2页, 2025.acl-long.828_On Synthesizing Data for Context Attribution in Question Answering_chunk_003]  
来自: [2025.acl-long.826_Improving Contextual Faithfulness of Large Language Models via Retrieval Heads-Induced Optimization, 第1页, 2025.acl-long.826_Improving Contextual Faithfulness of Large Language Models via Retrieval Heads-Induced Optimization_chunk_001]</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</si>
  <si>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</si>
  <si>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</si>
  <si>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LongBench v2 是一个评估大语言模型在长上下文场景下深度理解与推理能力的基准测试，聚焦于多任务阅读理解（如单文档/多文档问答、代码库理解等）。AGENTGYM 则是一个支持智能体交互式评估与训练的框架，覆盖网页导航、具身任务、工具使用等真实世界决策场景，强调多轮交互与实时反馈。
来自: [2025.acl-long.183_LongBench v2, 第1页, 2025.acl-long.183_LongBench v2_chunk_000; 2025.acl-long.1355_AgentGym, 第1页, 2025.acl-long.1355_AgentGym_chunk_001; 2025.acl-long.1355_AgentGym, 第4页, 2025.acl-long.1355_AgentGym_chunk_008]</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</si>
  <si>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</si>
  <si>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</si>
  <si>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AR-MCTS 通过将主动检索（Active Retrieval）与蒙特卡洛树搜索（MCTS）相结合，在推理扩展阶段动态检索相关知识，并利用过程奖励模型（PRM）进行过程级推理验证来提升复杂多模态推理能力。Agentic Reasoning 则通过集成网络搜索、编码和思维导图（Mind-Map）等外部代理工具来增强大语言模型的推理能力。
来自: [2025.acl-long.180_Progressive Multimodal Reasoning via Active Retrieval, 第1页, 2025.acl-long.180_Progressive Multimodal Reasoning via Active Retrieval_chunk_000]
来自: [2025.acl-long.1383_Agentic Reasoning, 第2页, 2025.acl-long.1383_Agentic Reasoning_chunk_004]</t>
  </si>
  <si>
    <t>MAIN‑RAG 与 RAG‑Critic 在提升 RAG 系统可靠性方面分别采用了什么核心方法？</t>
  </si>
  <si>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</si>
  <si>
    <t>MAIN-RAG 采用训练无关的多智能体协作过滤方法，通过多个 LLM 智能体对检索文档进行评分和筛选，并利用自适应阈值动态调整相关性标准，以减少噪声、提升生成可靠性。RAG-Critic 则构建了一个批评者引导的智能体工作流，先通过数据驱动的错误挖掘建立分层错误体系，再训练错误批评模型提供细粒度反馈，最终根据反馈自主定制执行方案，实现错误驱动的纠正。
来自: [2025.acl-long.131_MAIN-RAG, 第1页, 2025.acl-long.131_MAIN-RAG_chunk_004]  
来自: [2025.acl-long.179_RAG-Critic, 第9页, 2025.acl-long.179_RAG-Critic_chunk_020]</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</si>
  <si>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</si>
  <si>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</si>
  <si>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QAEncoder侧重于优化QA系统的**检索阶段**，其核心痛点是文档表示与用户查询之间的语义差距（document-query gap），导致检索不准确。  
On Synthesizing Data for Context Attribution in Question Answering侧重于优化QA系统的**答案验证与归因阶段**，其核心痛点是上下文归因任务依赖昂贵的人工标注数据，难以规模化。
来自: [2025.acl-long.217_QAEncoder, 第1页, 2025.acl-long.217_QAEncoder_chunk_003]  
来自: [2025.acl-long.828_On Synthesizing Data for Context Attribution in Question Answering, 第9页, 2025.acl-long.828_On Synthesizing Data for Context Attribution in Question Answering_chunk_024]</t>
  </si>
  <si>
    <t>这10篇论文中哪一篇提出了名为"RAG-Guard"的安全防护框架？</t>
  </si>
  <si>
    <t>不可回答类</t>
  </si>
  <si>
    <t>无法回答。</t>
  </si>
  <si>
    <t>根据已有信息，无法回答此问题。</t>
  </si>
  <si>
    <t>"ProLong"模型在训练过程中使用了哪种具体的优化器来处理长序列训练的梯度问题？</t>
  </si>
  <si>
    <t>SETR模型在训练时具体的训练时间是多少小时？</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</si>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</sst>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36" workbookViewId="0">
      <selection activeCell="R36" sqref="R36"/>
    </sheetView>
  </sheetViews>
  <sheetFormatPr defaultRowHeight="14" x14ac:dyDescent="0.25"/>
  <cols>
    <col min="1" max="1" width="24.90625" style="2" customWidth="1"/>
    <col min="2" max="2" width="8.7265625" style="2" customWidth="1"/>
    <col min="3" max="4" width="24.90625" style="2" customWidth="1"/>
    <col min="5" max="8" width="8.7265625" style="2"/>
    <col min="9" max="9" width="8.7265625" style="4"/>
    <col min="10" max="16384" width="8.7265625" style="2"/>
  </cols>
  <sheetData>
    <row r="1" spans="1:15" ht="42" x14ac:dyDescent="0.25">
      <c r="A1" s="1" t="s">
        <v>0</v>
      </c>
      <c r="B1" s="1" t="s">
        <v>1</v>
      </c>
      <c r="C1" s="1" t="s">
        <v>2</v>
      </c>
      <c r="D1" s="1" t="s">
        <v>3</v>
      </c>
      <c r="E1" s="1" t="s">
        <v>4</v>
      </c>
      <c r="F1" s="1" t="s">
        <v>5</v>
      </c>
      <c r="G1" s="1" t="s">
        <v>6</v>
      </c>
      <c r="H1" s="1" t="s">
        <v>7</v>
      </c>
      <c r="I1" s="3" t="s">
        <v>8</v>
      </c>
      <c r="J1" s="1" t="s">
        <v>9</v>
      </c>
      <c r="K1" s="1" t="s">
        <v>10</v>
      </c>
      <c r="L1" s="1" t="s">
        <v>11</v>
      </c>
      <c r="M1" s="1" t="s">
        <v>12</v>
      </c>
      <c r="N1" s="1" t="s">
        <v>13</v>
      </c>
      <c r="O1" s="1" t="s">
        <v>14</v>
      </c>
    </row>
    <row r="2" spans="1:15" ht="224" x14ac:dyDescent="0.25">
      <c r="A2" s="2" t="s">
        <v>15</v>
      </c>
      <c r="B2" s="2" t="s">
        <v>16</v>
      </c>
      <c r="C2" s="2" t="s">
        <v>17</v>
      </c>
      <c r="D2" s="2" t="s">
        <v>18</v>
      </c>
      <c r="E2" s="2">
        <v>1</v>
      </c>
      <c r="F2" s="2">
        <v>1</v>
      </c>
      <c r="G2" s="2">
        <v>1</v>
      </c>
      <c r="H2" s="2">
        <v>1</v>
      </c>
      <c r="I2" s="4">
        <v>1</v>
      </c>
      <c r="J2" s="2">
        <v>1</v>
      </c>
      <c r="K2" s="2" t="b">
        <v>0</v>
      </c>
      <c r="L2" s="2">
        <v>3</v>
      </c>
      <c r="M2" s="2">
        <v>0</v>
      </c>
      <c r="N2" s="2">
        <v>0</v>
      </c>
    </row>
    <row r="3" spans="1:15" ht="98" x14ac:dyDescent="0.25">
      <c r="A3" s="2" t="s">
        <v>19</v>
      </c>
      <c r="B3" s="2" t="s">
        <v>16</v>
      </c>
      <c r="C3" s="2" t="s">
        <v>20</v>
      </c>
      <c r="D3" s="2" t="s">
        <v>21</v>
      </c>
      <c r="E3" s="2">
        <v>0</v>
      </c>
      <c r="F3" s="2">
        <v>0</v>
      </c>
      <c r="G3" s="2">
        <v>0</v>
      </c>
      <c r="H3" s="2">
        <v>0</v>
      </c>
      <c r="I3" s="4">
        <v>1</v>
      </c>
      <c r="J3" s="2">
        <v>1</v>
      </c>
      <c r="K3" s="2" t="b">
        <v>0</v>
      </c>
      <c r="L3" s="2">
        <v>1</v>
      </c>
      <c r="M3" s="2">
        <v>0</v>
      </c>
      <c r="N3" s="2">
        <v>0</v>
      </c>
    </row>
    <row r="4" spans="1:15" ht="154" x14ac:dyDescent="0.25">
      <c r="A4" s="2" t="s">
        <v>22</v>
      </c>
      <c r="B4" s="2" t="s">
        <v>16</v>
      </c>
      <c r="C4" s="2" t="s">
        <v>23</v>
      </c>
      <c r="D4" s="2" t="s">
        <v>24</v>
      </c>
      <c r="E4" s="2">
        <v>1</v>
      </c>
      <c r="F4" s="2">
        <v>1</v>
      </c>
      <c r="G4" s="2">
        <v>1</v>
      </c>
      <c r="H4" s="2">
        <v>1</v>
      </c>
      <c r="I4" s="4">
        <v>1</v>
      </c>
      <c r="J4" s="2">
        <v>1</v>
      </c>
      <c r="K4" s="2" t="b">
        <v>0</v>
      </c>
      <c r="L4" s="2">
        <v>1</v>
      </c>
      <c r="M4" s="2">
        <v>0</v>
      </c>
      <c r="N4" s="2">
        <v>0</v>
      </c>
    </row>
    <row r="5" spans="1:15" ht="224" x14ac:dyDescent="0.25">
      <c r="A5" s="2" t="s">
        <v>25</v>
      </c>
      <c r="B5" s="2" t="s">
        <v>16</v>
      </c>
      <c r="C5" s="2" t="s">
        <v>26</v>
      </c>
      <c r="D5" s="2" t="s">
        <v>27</v>
      </c>
      <c r="E5" s="2">
        <v>1</v>
      </c>
      <c r="F5" s="2">
        <v>1</v>
      </c>
      <c r="G5" s="2">
        <v>1</v>
      </c>
      <c r="H5" s="2">
        <v>1</v>
      </c>
      <c r="I5" s="4">
        <v>1</v>
      </c>
      <c r="J5" s="2">
        <v>1</v>
      </c>
      <c r="K5" s="2" t="b">
        <v>0</v>
      </c>
      <c r="L5" s="2">
        <v>2</v>
      </c>
      <c r="M5" s="2">
        <v>0</v>
      </c>
      <c r="N5" s="2">
        <v>0</v>
      </c>
    </row>
    <row r="6" spans="1:15" ht="224" x14ac:dyDescent="0.25">
      <c r="A6" s="2" t="s">
        <v>28</v>
      </c>
      <c r="B6" s="2" t="s">
        <v>16</v>
      </c>
      <c r="C6" s="2" t="s">
        <v>29</v>
      </c>
      <c r="D6" s="2" t="s">
        <v>30</v>
      </c>
      <c r="E6" s="2">
        <v>1</v>
      </c>
      <c r="F6" s="2">
        <v>1</v>
      </c>
      <c r="G6" s="2">
        <v>1</v>
      </c>
      <c r="H6" s="2">
        <v>1</v>
      </c>
      <c r="I6" s="4">
        <v>1</v>
      </c>
      <c r="J6" s="2">
        <v>0.85699999999999998</v>
      </c>
      <c r="K6" s="2" t="b">
        <v>0</v>
      </c>
      <c r="L6" s="2">
        <v>3</v>
      </c>
      <c r="M6" s="2">
        <v>0</v>
      </c>
      <c r="N6" s="2">
        <v>1</v>
      </c>
    </row>
    <row r="7" spans="1:15" ht="224" x14ac:dyDescent="0.25">
      <c r="A7" s="2" t="s">
        <v>31</v>
      </c>
      <c r="B7" s="2" t="s">
        <v>16</v>
      </c>
      <c r="C7" s="2" t="s">
        <v>32</v>
      </c>
      <c r="D7" s="2" t="s">
        <v>33</v>
      </c>
      <c r="E7" s="2">
        <v>1</v>
      </c>
      <c r="F7" s="2">
        <v>1</v>
      </c>
      <c r="G7" s="2">
        <v>1</v>
      </c>
      <c r="H7" s="2">
        <v>1</v>
      </c>
      <c r="I7" s="4">
        <v>1</v>
      </c>
      <c r="J7" s="2">
        <v>0.8</v>
      </c>
      <c r="K7" s="2" t="b">
        <v>0</v>
      </c>
      <c r="L7" s="2">
        <v>2</v>
      </c>
      <c r="M7" s="2">
        <v>0</v>
      </c>
      <c r="N7" s="2">
        <v>1</v>
      </c>
    </row>
    <row r="8" spans="1:15" ht="182" x14ac:dyDescent="0.25">
      <c r="A8" s="2" t="s">
        <v>34</v>
      </c>
      <c r="B8" s="2" t="s">
        <v>16</v>
      </c>
      <c r="C8" s="2" t="s">
        <v>35</v>
      </c>
      <c r="D8" s="2" t="s">
        <v>36</v>
      </c>
      <c r="E8" s="2">
        <v>1</v>
      </c>
      <c r="F8" s="2">
        <v>1</v>
      </c>
      <c r="G8" s="2">
        <v>1</v>
      </c>
      <c r="H8" s="2">
        <v>1</v>
      </c>
      <c r="I8" s="4">
        <v>1</v>
      </c>
      <c r="J8" s="2">
        <v>1</v>
      </c>
      <c r="K8" s="2" t="b">
        <v>0</v>
      </c>
      <c r="L8" s="2">
        <v>1</v>
      </c>
      <c r="M8" s="2">
        <v>0</v>
      </c>
      <c r="N8" s="2">
        <v>0</v>
      </c>
    </row>
    <row r="9" spans="1:15" ht="154" x14ac:dyDescent="0.25">
      <c r="A9" s="2" t="s">
        <v>37</v>
      </c>
      <c r="B9" s="2" t="s">
        <v>16</v>
      </c>
      <c r="C9" s="2" t="s">
        <v>38</v>
      </c>
      <c r="D9" s="2" t="s">
        <v>39</v>
      </c>
      <c r="E9" s="2">
        <v>1</v>
      </c>
      <c r="F9" s="2">
        <v>1</v>
      </c>
      <c r="G9" s="2">
        <v>1</v>
      </c>
      <c r="H9" s="2">
        <v>1</v>
      </c>
      <c r="I9" s="4">
        <v>1</v>
      </c>
      <c r="J9" s="2">
        <v>1</v>
      </c>
      <c r="K9" s="2" t="b">
        <v>0</v>
      </c>
      <c r="L9" s="2">
        <v>4</v>
      </c>
      <c r="M9" s="2">
        <v>0</v>
      </c>
      <c r="N9" s="2">
        <v>0</v>
      </c>
    </row>
    <row r="10" spans="1:15" ht="252" x14ac:dyDescent="0.25">
      <c r="A10" s="2" t="s">
        <v>40</v>
      </c>
      <c r="B10" s="2" t="s">
        <v>16</v>
      </c>
      <c r="C10" s="2" t="s">
        <v>41</v>
      </c>
      <c r="D10" s="2" t="s">
        <v>42</v>
      </c>
      <c r="E10" s="2">
        <v>1</v>
      </c>
      <c r="F10" s="2">
        <v>1</v>
      </c>
      <c r="G10" s="2">
        <v>1</v>
      </c>
      <c r="H10" s="2">
        <v>1</v>
      </c>
      <c r="I10" s="4">
        <v>1</v>
      </c>
      <c r="J10" s="2">
        <v>1</v>
      </c>
      <c r="K10" s="2" t="b">
        <v>0</v>
      </c>
      <c r="L10" s="2">
        <v>3</v>
      </c>
      <c r="M10" s="2">
        <v>0</v>
      </c>
      <c r="N10" s="2">
        <v>0</v>
      </c>
    </row>
    <row r="11" spans="1:15" ht="210" x14ac:dyDescent="0.25">
      <c r="A11" s="2" t="s">
        <v>43</v>
      </c>
      <c r="B11" s="2" t="s">
        <v>16</v>
      </c>
      <c r="C11" s="2" t="s">
        <v>44</v>
      </c>
      <c r="D11" s="2" t="s">
        <v>45</v>
      </c>
      <c r="E11" s="2">
        <v>1</v>
      </c>
      <c r="F11" s="2">
        <v>1</v>
      </c>
      <c r="G11" s="2">
        <v>1</v>
      </c>
      <c r="H11" s="2">
        <v>1</v>
      </c>
      <c r="I11" s="4">
        <v>1</v>
      </c>
      <c r="J11" s="2">
        <v>0.85699999999999998</v>
      </c>
      <c r="K11" s="2" t="b">
        <v>0</v>
      </c>
      <c r="L11" s="2">
        <v>3</v>
      </c>
      <c r="M11" s="2">
        <v>0</v>
      </c>
      <c r="N11" s="2">
        <v>1</v>
      </c>
    </row>
    <row r="12" spans="1:15" ht="112" x14ac:dyDescent="0.25">
      <c r="A12" s="2" t="s">
        <v>46</v>
      </c>
      <c r="B12" s="2" t="s">
        <v>16</v>
      </c>
      <c r="C12" s="2" t="s">
        <v>47</v>
      </c>
      <c r="D12" s="2" t="s">
        <v>48</v>
      </c>
      <c r="E12" s="2">
        <v>1</v>
      </c>
      <c r="F12" s="2">
        <v>1</v>
      </c>
      <c r="G12" s="2">
        <v>1</v>
      </c>
      <c r="H12" s="2">
        <v>1</v>
      </c>
      <c r="I12" s="4">
        <v>1</v>
      </c>
      <c r="J12" s="2">
        <v>1</v>
      </c>
      <c r="K12" s="2" t="b">
        <v>0</v>
      </c>
      <c r="L12" s="2">
        <v>2</v>
      </c>
      <c r="M12" s="2">
        <v>0</v>
      </c>
      <c r="N12" s="2">
        <v>0</v>
      </c>
    </row>
    <row r="13" spans="1:15" ht="294" x14ac:dyDescent="0.25">
      <c r="A13" s="2" t="s">
        <v>49</v>
      </c>
      <c r="B13" s="2" t="s">
        <v>16</v>
      </c>
      <c r="C13" s="2" t="s">
        <v>50</v>
      </c>
      <c r="D13" s="2" t="s">
        <v>51</v>
      </c>
      <c r="E13" s="2">
        <v>1</v>
      </c>
      <c r="F13" s="2">
        <v>1</v>
      </c>
      <c r="G13" s="2">
        <v>1</v>
      </c>
      <c r="H13" s="2">
        <v>1</v>
      </c>
      <c r="I13" s="4">
        <v>1</v>
      </c>
      <c r="J13" s="2">
        <v>1</v>
      </c>
      <c r="K13" s="2" t="b">
        <v>0</v>
      </c>
      <c r="L13" s="2">
        <v>3</v>
      </c>
      <c r="M13" s="2">
        <v>0</v>
      </c>
      <c r="N13" s="2">
        <v>0</v>
      </c>
    </row>
    <row r="14" spans="1:15" ht="252" x14ac:dyDescent="0.25">
      <c r="A14" s="2" t="s">
        <v>52</v>
      </c>
      <c r="B14" s="2" t="s">
        <v>53</v>
      </c>
      <c r="C14" s="2" t="s">
        <v>54</v>
      </c>
      <c r="D14" s="2" t="s">
        <v>55</v>
      </c>
      <c r="E14" s="2">
        <v>1</v>
      </c>
      <c r="F14" s="2">
        <v>1</v>
      </c>
      <c r="G14" s="2">
        <v>1</v>
      </c>
      <c r="H14" s="2">
        <v>1</v>
      </c>
      <c r="I14" s="4">
        <v>1</v>
      </c>
      <c r="J14" s="2">
        <v>1</v>
      </c>
      <c r="K14" s="2" t="b">
        <v>0</v>
      </c>
      <c r="L14" s="2">
        <v>1</v>
      </c>
      <c r="M14" s="2">
        <v>0</v>
      </c>
      <c r="N14" s="2">
        <v>0</v>
      </c>
    </row>
    <row r="15" spans="1:15" ht="168" x14ac:dyDescent="0.25">
      <c r="A15" s="2" t="s">
        <v>56</v>
      </c>
      <c r="B15" s="2" t="s">
        <v>53</v>
      </c>
      <c r="C15" s="2" t="s">
        <v>57</v>
      </c>
      <c r="D15" s="2" t="s">
        <v>58</v>
      </c>
      <c r="E15" s="2">
        <v>1</v>
      </c>
      <c r="F15" s="2">
        <v>1</v>
      </c>
      <c r="G15" s="2">
        <v>1</v>
      </c>
      <c r="H15" s="2">
        <v>1</v>
      </c>
      <c r="I15" s="4">
        <v>0</v>
      </c>
      <c r="J15" s="2">
        <v>0</v>
      </c>
      <c r="K15" s="2" t="b">
        <v>0</v>
      </c>
      <c r="L15" s="2">
        <v>0</v>
      </c>
      <c r="M15" s="2">
        <v>3</v>
      </c>
      <c r="N15" s="2">
        <v>3</v>
      </c>
    </row>
    <row r="16" spans="1:15" ht="308" x14ac:dyDescent="0.25">
      <c r="A16" s="2" t="s">
        <v>59</v>
      </c>
      <c r="B16" s="2" t="s">
        <v>53</v>
      </c>
      <c r="C16" s="2" t="s">
        <v>60</v>
      </c>
      <c r="D16" s="2" t="s">
        <v>61</v>
      </c>
      <c r="E16" s="2">
        <v>1</v>
      </c>
      <c r="F16" s="2">
        <v>1</v>
      </c>
      <c r="G16" s="2">
        <v>1</v>
      </c>
      <c r="H16" s="2">
        <v>1</v>
      </c>
      <c r="I16" s="4">
        <v>1</v>
      </c>
      <c r="J16" s="2">
        <v>1</v>
      </c>
      <c r="K16" s="2" t="b">
        <v>0</v>
      </c>
      <c r="L16" s="2">
        <v>3</v>
      </c>
      <c r="M16" s="2">
        <v>0</v>
      </c>
      <c r="N16" s="2">
        <v>0</v>
      </c>
    </row>
    <row r="17" spans="1:14" ht="196" x14ac:dyDescent="0.25">
      <c r="A17" s="2" t="s">
        <v>62</v>
      </c>
      <c r="B17" s="2" t="s">
        <v>53</v>
      </c>
      <c r="C17" s="2" t="s">
        <v>63</v>
      </c>
      <c r="D17" s="2" t="s">
        <v>64</v>
      </c>
      <c r="E17" s="2">
        <v>1</v>
      </c>
      <c r="F17" s="2">
        <v>1</v>
      </c>
      <c r="G17" s="2">
        <v>1</v>
      </c>
      <c r="H17" s="2">
        <v>1</v>
      </c>
      <c r="I17" s="4">
        <v>1</v>
      </c>
      <c r="J17" s="2">
        <v>0.66700000000000004</v>
      </c>
      <c r="K17" s="2" t="b">
        <v>0</v>
      </c>
      <c r="L17" s="2">
        <v>1</v>
      </c>
      <c r="M17" s="2">
        <v>0</v>
      </c>
      <c r="N17" s="2">
        <v>1</v>
      </c>
    </row>
    <row r="18" spans="1:14" ht="378" x14ac:dyDescent="0.25">
      <c r="A18" s="2" t="s">
        <v>65</v>
      </c>
      <c r="B18" s="2" t="s">
        <v>53</v>
      </c>
      <c r="C18" s="2" t="s">
        <v>66</v>
      </c>
      <c r="D18" s="2" t="s">
        <v>67</v>
      </c>
      <c r="E18" s="2">
        <v>1</v>
      </c>
      <c r="F18" s="2">
        <v>1</v>
      </c>
      <c r="G18" s="2">
        <v>1</v>
      </c>
      <c r="H18" s="2">
        <v>1</v>
      </c>
      <c r="I18" s="4">
        <v>1</v>
      </c>
      <c r="J18" s="2">
        <v>1</v>
      </c>
      <c r="K18" s="2" t="b">
        <v>0</v>
      </c>
      <c r="L18" s="2">
        <v>4</v>
      </c>
      <c r="M18" s="2">
        <v>0</v>
      </c>
      <c r="N18" s="2">
        <v>0</v>
      </c>
    </row>
    <row r="19" spans="1:14" ht="280" x14ac:dyDescent="0.25">
      <c r="A19" s="2" t="s">
        <v>68</v>
      </c>
      <c r="B19" s="2" t="s">
        <v>53</v>
      </c>
      <c r="C19" s="2" t="s">
        <v>69</v>
      </c>
      <c r="D19" s="2" t="s">
        <v>70</v>
      </c>
      <c r="E19" s="2">
        <v>1</v>
      </c>
      <c r="F19" s="2">
        <v>1</v>
      </c>
      <c r="G19" s="2">
        <v>1</v>
      </c>
      <c r="H19" s="2">
        <v>1</v>
      </c>
      <c r="I19" s="4">
        <v>1</v>
      </c>
      <c r="J19" s="2">
        <v>1</v>
      </c>
      <c r="K19" s="2" t="b">
        <v>0</v>
      </c>
      <c r="L19" s="2">
        <v>3</v>
      </c>
      <c r="M19" s="2">
        <v>0</v>
      </c>
      <c r="N19" s="2">
        <v>0</v>
      </c>
    </row>
    <row r="20" spans="1:14" ht="154" x14ac:dyDescent="0.25">
      <c r="A20" s="2" t="s">
        <v>71</v>
      </c>
      <c r="B20" s="2" t="s">
        <v>53</v>
      </c>
      <c r="C20" s="2" t="s">
        <v>72</v>
      </c>
      <c r="D20" s="2" t="s">
        <v>73</v>
      </c>
      <c r="E20" s="2">
        <v>1</v>
      </c>
      <c r="F20" s="2">
        <v>1</v>
      </c>
      <c r="G20" s="2">
        <v>1</v>
      </c>
      <c r="H20" s="2">
        <v>1</v>
      </c>
      <c r="I20" s="4">
        <v>1</v>
      </c>
      <c r="J20" s="2">
        <v>1</v>
      </c>
      <c r="K20" s="2" t="b">
        <v>0</v>
      </c>
      <c r="L20" s="2">
        <v>2</v>
      </c>
      <c r="M20" s="2">
        <v>0</v>
      </c>
      <c r="N20" s="2">
        <v>0</v>
      </c>
    </row>
    <row r="21" spans="1:14" ht="252" x14ac:dyDescent="0.25">
      <c r="A21" s="2" t="s">
        <v>74</v>
      </c>
      <c r="B21" s="2" t="s">
        <v>53</v>
      </c>
      <c r="C21" s="2" t="s">
        <v>75</v>
      </c>
      <c r="D21" s="2" t="s">
        <v>76</v>
      </c>
      <c r="E21" s="2">
        <v>1</v>
      </c>
      <c r="F21" s="2">
        <v>1</v>
      </c>
      <c r="G21" s="2">
        <v>1</v>
      </c>
      <c r="H21" s="2">
        <v>1</v>
      </c>
      <c r="I21" s="4">
        <v>1</v>
      </c>
      <c r="J21" s="2">
        <v>0.66700000000000004</v>
      </c>
      <c r="K21" s="2" t="b">
        <v>0</v>
      </c>
      <c r="L21" s="2">
        <v>1</v>
      </c>
      <c r="M21" s="2">
        <v>0</v>
      </c>
      <c r="N21" s="2">
        <v>1</v>
      </c>
    </row>
    <row r="22" spans="1:14" ht="378" x14ac:dyDescent="0.25">
      <c r="A22" s="2" t="s">
        <v>77</v>
      </c>
      <c r="B22" s="2" t="s">
        <v>53</v>
      </c>
      <c r="C22" s="2" t="s">
        <v>78</v>
      </c>
      <c r="D22" s="2" t="s">
        <v>79</v>
      </c>
      <c r="E22" s="2">
        <v>1</v>
      </c>
      <c r="F22" s="2">
        <v>1</v>
      </c>
      <c r="G22" s="2">
        <v>1</v>
      </c>
      <c r="H22" s="2">
        <v>1</v>
      </c>
      <c r="I22" s="4">
        <v>1</v>
      </c>
      <c r="J22" s="2">
        <v>1</v>
      </c>
      <c r="K22" s="2" t="b">
        <v>0</v>
      </c>
      <c r="L22" s="2">
        <v>3</v>
      </c>
      <c r="M22" s="2">
        <v>0</v>
      </c>
      <c r="N22" s="2">
        <v>0</v>
      </c>
    </row>
    <row r="23" spans="1:14" ht="294" x14ac:dyDescent="0.25">
      <c r="A23" s="2" t="s">
        <v>80</v>
      </c>
      <c r="B23" s="2" t="s">
        <v>53</v>
      </c>
      <c r="C23" s="2" t="s">
        <v>81</v>
      </c>
      <c r="D23" s="2" t="s">
        <v>82</v>
      </c>
      <c r="E23" s="2">
        <v>1</v>
      </c>
      <c r="F23" s="2">
        <v>1</v>
      </c>
      <c r="G23" s="2">
        <v>1</v>
      </c>
      <c r="H23" s="2">
        <v>1</v>
      </c>
      <c r="I23" s="4">
        <v>0.5</v>
      </c>
      <c r="J23" s="2">
        <v>1</v>
      </c>
      <c r="K23" s="2" t="b">
        <v>0</v>
      </c>
      <c r="L23" s="2">
        <v>2</v>
      </c>
      <c r="M23" s="2">
        <v>0</v>
      </c>
      <c r="N23" s="2">
        <v>0</v>
      </c>
    </row>
    <row r="24" spans="1:14" ht="182" x14ac:dyDescent="0.25">
      <c r="A24" s="2" t="s">
        <v>83</v>
      </c>
      <c r="B24" s="2" t="s">
        <v>53</v>
      </c>
      <c r="C24" s="2" t="s">
        <v>84</v>
      </c>
      <c r="D24" s="2" t="s">
        <v>85</v>
      </c>
      <c r="E24" s="2">
        <v>1</v>
      </c>
      <c r="F24" s="2">
        <v>1</v>
      </c>
      <c r="G24" s="2">
        <v>1</v>
      </c>
      <c r="H24" s="2">
        <v>1</v>
      </c>
      <c r="I24" s="4">
        <v>1</v>
      </c>
      <c r="J24" s="2">
        <v>0.66700000000000004</v>
      </c>
      <c r="K24" s="2" t="b">
        <v>0</v>
      </c>
      <c r="L24" s="2">
        <v>1</v>
      </c>
      <c r="M24" s="2">
        <v>0</v>
      </c>
      <c r="N24" s="2">
        <v>1</v>
      </c>
    </row>
    <row r="25" spans="1:14" ht="154" x14ac:dyDescent="0.25">
      <c r="A25" s="2" t="s">
        <v>86</v>
      </c>
      <c r="B25" s="2" t="s">
        <v>87</v>
      </c>
      <c r="C25" s="2" t="s">
        <v>88</v>
      </c>
      <c r="D25" s="2" t="s">
        <v>89</v>
      </c>
      <c r="E25" s="2">
        <v>1</v>
      </c>
      <c r="F25" s="2">
        <v>1</v>
      </c>
      <c r="G25" s="2">
        <v>1</v>
      </c>
      <c r="H25" s="2">
        <v>1</v>
      </c>
      <c r="I25" s="4">
        <v>1</v>
      </c>
      <c r="J25" s="2">
        <v>1</v>
      </c>
      <c r="K25" s="2" t="b">
        <v>0</v>
      </c>
      <c r="L25" s="2">
        <v>2</v>
      </c>
      <c r="M25" s="2">
        <v>0</v>
      </c>
      <c r="N25" s="2">
        <v>0</v>
      </c>
    </row>
    <row r="26" spans="1:14" ht="154" x14ac:dyDescent="0.25">
      <c r="A26" s="2" t="s">
        <v>90</v>
      </c>
      <c r="B26" s="2" t="s">
        <v>87</v>
      </c>
      <c r="C26" s="2" t="s">
        <v>91</v>
      </c>
      <c r="D26" s="2" t="s">
        <v>92</v>
      </c>
      <c r="E26" s="2">
        <v>1</v>
      </c>
      <c r="F26" s="2">
        <v>1</v>
      </c>
      <c r="G26" s="2">
        <v>1</v>
      </c>
      <c r="H26" s="2">
        <v>1</v>
      </c>
      <c r="I26" s="4">
        <v>1</v>
      </c>
      <c r="J26" s="2">
        <v>1</v>
      </c>
      <c r="K26" s="2" t="b">
        <v>0</v>
      </c>
      <c r="L26" s="2">
        <v>1</v>
      </c>
      <c r="M26" s="2">
        <v>0</v>
      </c>
      <c r="N26" s="2">
        <v>0</v>
      </c>
    </row>
    <row r="27" spans="1:14" ht="252" x14ac:dyDescent="0.25">
      <c r="A27" s="2" t="s">
        <v>93</v>
      </c>
      <c r="B27" s="2" t="s">
        <v>87</v>
      </c>
      <c r="C27" s="2" t="s">
        <v>94</v>
      </c>
      <c r="D27" s="2" t="s">
        <v>95</v>
      </c>
      <c r="E27" s="2">
        <v>1</v>
      </c>
      <c r="F27" s="2">
        <v>1</v>
      </c>
      <c r="G27" s="2">
        <v>1</v>
      </c>
      <c r="H27" s="2">
        <v>1</v>
      </c>
      <c r="I27" s="4">
        <v>1</v>
      </c>
      <c r="J27" s="2">
        <v>0.66700000000000004</v>
      </c>
      <c r="K27" s="2" t="b">
        <v>0</v>
      </c>
      <c r="L27" s="2">
        <v>1</v>
      </c>
      <c r="M27" s="2">
        <v>0</v>
      </c>
      <c r="N27" s="2">
        <v>1</v>
      </c>
    </row>
    <row r="28" spans="1:14" ht="140" x14ac:dyDescent="0.25">
      <c r="A28" s="2" t="s">
        <v>96</v>
      </c>
      <c r="B28" s="2" t="s">
        <v>87</v>
      </c>
      <c r="C28" s="2" t="s">
        <v>97</v>
      </c>
      <c r="D28" s="2" t="s">
        <v>98</v>
      </c>
      <c r="E28" s="2">
        <v>1</v>
      </c>
      <c r="F28" s="2">
        <v>1</v>
      </c>
      <c r="G28" s="2">
        <v>1</v>
      </c>
      <c r="H28" s="2">
        <v>1</v>
      </c>
      <c r="I28" s="4">
        <v>1</v>
      </c>
      <c r="J28" s="2">
        <v>1</v>
      </c>
      <c r="K28" s="2" t="b">
        <v>0</v>
      </c>
      <c r="L28" s="2">
        <v>1</v>
      </c>
      <c r="M28" s="2">
        <v>0</v>
      </c>
      <c r="N28" s="2">
        <v>0</v>
      </c>
    </row>
    <row r="29" spans="1:14" ht="98" x14ac:dyDescent="0.25">
      <c r="A29" s="2" t="s">
        <v>99</v>
      </c>
      <c r="B29" s="2" t="s">
        <v>87</v>
      </c>
      <c r="C29" s="2" t="s">
        <v>100</v>
      </c>
      <c r="D29" s="2" t="s">
        <v>101</v>
      </c>
      <c r="E29" s="2">
        <v>1</v>
      </c>
      <c r="F29" s="2">
        <v>1</v>
      </c>
      <c r="G29" s="2">
        <v>1</v>
      </c>
      <c r="H29" s="2">
        <v>1</v>
      </c>
      <c r="I29" s="4">
        <v>1</v>
      </c>
      <c r="J29" s="2">
        <v>1</v>
      </c>
      <c r="K29" s="2" t="b">
        <v>0</v>
      </c>
      <c r="L29" s="2">
        <v>1</v>
      </c>
      <c r="M29" s="2">
        <v>0</v>
      </c>
      <c r="N29" s="2">
        <v>0</v>
      </c>
    </row>
    <row r="30" spans="1:14" ht="140" x14ac:dyDescent="0.25">
      <c r="A30" s="2" t="s">
        <v>102</v>
      </c>
      <c r="B30" s="2" t="s">
        <v>87</v>
      </c>
      <c r="C30" s="2" t="s">
        <v>103</v>
      </c>
      <c r="D30" s="2" t="s">
        <v>104</v>
      </c>
      <c r="E30" s="2">
        <v>1</v>
      </c>
      <c r="F30" s="2">
        <v>1</v>
      </c>
      <c r="G30" s="2">
        <v>1</v>
      </c>
      <c r="H30" s="2">
        <v>1</v>
      </c>
      <c r="I30" s="4">
        <v>1</v>
      </c>
      <c r="J30" s="2">
        <v>1</v>
      </c>
      <c r="K30" s="2" t="b">
        <v>0</v>
      </c>
      <c r="L30" s="2">
        <v>3</v>
      </c>
      <c r="M30" s="2">
        <v>0</v>
      </c>
      <c r="N30" s="2">
        <v>0</v>
      </c>
    </row>
    <row r="31" spans="1:14" ht="210" x14ac:dyDescent="0.25">
      <c r="A31" s="2" t="s">
        <v>105</v>
      </c>
      <c r="B31" s="2" t="s">
        <v>87</v>
      </c>
      <c r="C31" s="2" t="s">
        <v>106</v>
      </c>
      <c r="D31" s="2" t="s">
        <v>107</v>
      </c>
      <c r="E31" s="2">
        <v>1</v>
      </c>
      <c r="F31" s="2">
        <v>1</v>
      </c>
      <c r="G31" s="2">
        <v>1</v>
      </c>
      <c r="H31" s="2">
        <v>1</v>
      </c>
      <c r="I31" s="4">
        <v>1</v>
      </c>
      <c r="J31" s="2">
        <v>1</v>
      </c>
      <c r="K31" s="2" t="b">
        <v>0</v>
      </c>
      <c r="L31" s="2">
        <v>3</v>
      </c>
      <c r="M31" s="2">
        <v>0</v>
      </c>
      <c r="N31" s="2">
        <v>0</v>
      </c>
    </row>
    <row r="32" spans="1:14" ht="238" x14ac:dyDescent="0.25">
      <c r="A32" s="2" t="s">
        <v>108</v>
      </c>
      <c r="B32" s="2" t="s">
        <v>87</v>
      </c>
      <c r="C32" s="2" t="s">
        <v>109</v>
      </c>
      <c r="D32" s="2" t="s">
        <v>110</v>
      </c>
      <c r="E32" s="2">
        <v>1</v>
      </c>
      <c r="F32" s="2">
        <v>1</v>
      </c>
      <c r="G32" s="2">
        <v>1</v>
      </c>
      <c r="H32" s="2">
        <v>1</v>
      </c>
      <c r="I32" s="4">
        <v>1</v>
      </c>
      <c r="J32" s="2">
        <v>1</v>
      </c>
      <c r="K32" s="2" t="b">
        <v>0</v>
      </c>
      <c r="L32" s="2">
        <v>2</v>
      </c>
      <c r="M32" s="2">
        <v>0</v>
      </c>
      <c r="N32" s="2">
        <v>0</v>
      </c>
    </row>
    <row r="33" spans="1:15" ht="322" x14ac:dyDescent="0.25">
      <c r="A33" s="2" t="s">
        <v>111</v>
      </c>
      <c r="B33" s="2" t="s">
        <v>87</v>
      </c>
      <c r="C33" s="2" t="s">
        <v>112</v>
      </c>
      <c r="D33" s="2" t="s">
        <v>113</v>
      </c>
      <c r="E33" s="2">
        <v>1</v>
      </c>
      <c r="F33" s="2">
        <v>1</v>
      </c>
      <c r="G33" s="2">
        <v>1</v>
      </c>
      <c r="H33" s="2">
        <v>1</v>
      </c>
      <c r="I33" s="4">
        <v>1</v>
      </c>
      <c r="J33" s="2">
        <v>1</v>
      </c>
      <c r="K33" s="2" t="b">
        <v>0</v>
      </c>
      <c r="L33" s="2">
        <v>3</v>
      </c>
      <c r="M33" s="2">
        <v>0</v>
      </c>
      <c r="N33" s="2">
        <v>0</v>
      </c>
    </row>
    <row r="34" spans="1:15" ht="266" x14ac:dyDescent="0.25">
      <c r="A34" s="2" t="s">
        <v>114</v>
      </c>
      <c r="B34" s="2" t="s">
        <v>87</v>
      </c>
      <c r="C34" s="2" t="s">
        <v>115</v>
      </c>
      <c r="D34" s="2" t="s">
        <v>116</v>
      </c>
      <c r="E34" s="2">
        <v>1</v>
      </c>
      <c r="F34" s="2">
        <v>1</v>
      </c>
      <c r="G34" s="2">
        <v>1</v>
      </c>
      <c r="H34" s="2">
        <v>1</v>
      </c>
      <c r="I34" s="4">
        <v>1</v>
      </c>
      <c r="J34" s="2">
        <v>1</v>
      </c>
      <c r="K34" s="2" t="b">
        <v>0</v>
      </c>
      <c r="L34" s="2">
        <v>3</v>
      </c>
      <c r="M34" s="2">
        <v>0</v>
      </c>
      <c r="N34" s="2">
        <v>0</v>
      </c>
    </row>
    <row r="35" spans="1:15" ht="112" x14ac:dyDescent="0.25">
      <c r="A35" s="2" t="s">
        <v>117</v>
      </c>
      <c r="B35" s="2" t="s">
        <v>87</v>
      </c>
      <c r="C35" s="2" t="s">
        <v>118</v>
      </c>
      <c r="D35" s="2" t="s">
        <v>119</v>
      </c>
      <c r="E35" s="2">
        <v>1</v>
      </c>
      <c r="F35" s="2">
        <v>1</v>
      </c>
      <c r="G35" s="2">
        <v>1</v>
      </c>
      <c r="H35" s="2">
        <v>1</v>
      </c>
      <c r="I35" s="4">
        <v>1</v>
      </c>
      <c r="J35" s="2">
        <v>0.66700000000000004</v>
      </c>
      <c r="K35" s="2" t="b">
        <v>0</v>
      </c>
      <c r="L35" s="2">
        <v>1</v>
      </c>
      <c r="M35" s="2">
        <v>0</v>
      </c>
      <c r="N35" s="2">
        <v>1</v>
      </c>
    </row>
    <row r="36" spans="1:15" ht="336" x14ac:dyDescent="0.25">
      <c r="A36" s="2" t="s">
        <v>120</v>
      </c>
      <c r="B36" s="2" t="s">
        <v>121</v>
      </c>
      <c r="C36" s="2" t="s">
        <v>122</v>
      </c>
      <c r="D36" s="2" t="s">
        <v>123</v>
      </c>
      <c r="E36" s="2">
        <v>0</v>
      </c>
      <c r="F36" s="2">
        <v>1</v>
      </c>
      <c r="G36" s="2">
        <v>1</v>
      </c>
      <c r="H36" s="2">
        <v>0.33333333333333331</v>
      </c>
      <c r="I36" s="4">
        <v>1</v>
      </c>
      <c r="J36" s="2">
        <v>1</v>
      </c>
      <c r="K36" s="2" t="b">
        <v>0</v>
      </c>
      <c r="L36" s="2">
        <v>2</v>
      </c>
      <c r="M36" s="2">
        <v>0</v>
      </c>
      <c r="N36" s="2">
        <v>0</v>
      </c>
    </row>
    <row r="37" spans="1:15" ht="409.5" x14ac:dyDescent="0.25">
      <c r="A37" s="2" t="s">
        <v>124</v>
      </c>
      <c r="B37" s="2" t="s">
        <v>121</v>
      </c>
      <c r="C37" s="2" t="s">
        <v>125</v>
      </c>
      <c r="D37" s="2" t="s">
        <v>126</v>
      </c>
      <c r="E37" s="2">
        <v>1</v>
      </c>
      <c r="F37" s="2">
        <v>1</v>
      </c>
      <c r="G37" s="2">
        <v>1</v>
      </c>
      <c r="H37" s="2">
        <v>1</v>
      </c>
      <c r="I37" s="4">
        <v>1</v>
      </c>
      <c r="J37" s="2">
        <v>1</v>
      </c>
      <c r="K37" s="2" t="b">
        <v>0</v>
      </c>
      <c r="L37" s="2">
        <v>2</v>
      </c>
      <c r="M37" s="2">
        <v>0</v>
      </c>
      <c r="N37" s="2">
        <v>0</v>
      </c>
    </row>
    <row r="38" spans="1:15" ht="409.5" x14ac:dyDescent="0.25">
      <c r="A38" s="2" t="s">
        <v>127</v>
      </c>
      <c r="B38" s="2" t="s">
        <v>121</v>
      </c>
      <c r="C38" s="2" t="s">
        <v>128</v>
      </c>
      <c r="D38" s="2" t="s">
        <v>129</v>
      </c>
      <c r="E38" s="2">
        <v>1</v>
      </c>
      <c r="F38" s="2">
        <v>1</v>
      </c>
      <c r="G38" s="2">
        <v>1</v>
      </c>
      <c r="H38" s="2">
        <v>1</v>
      </c>
      <c r="I38" s="4">
        <v>1</v>
      </c>
      <c r="J38" s="2">
        <v>1</v>
      </c>
      <c r="K38" s="2" t="b">
        <v>0</v>
      </c>
      <c r="L38" s="2">
        <v>3</v>
      </c>
      <c r="M38" s="2">
        <v>0</v>
      </c>
      <c r="N38" s="2">
        <v>0</v>
      </c>
    </row>
    <row r="39" spans="1:15" ht="409.5" x14ac:dyDescent="0.25">
      <c r="A39" s="2" t="s">
        <v>130</v>
      </c>
      <c r="B39" s="2" t="s">
        <v>121</v>
      </c>
      <c r="C39" s="2" t="s">
        <v>131</v>
      </c>
      <c r="D39" s="2" t="s">
        <v>132</v>
      </c>
      <c r="E39" s="2">
        <v>1</v>
      </c>
      <c r="F39" s="2">
        <v>1</v>
      </c>
      <c r="G39" s="2">
        <v>1</v>
      </c>
      <c r="H39" s="2">
        <v>1</v>
      </c>
      <c r="I39" s="4">
        <v>0.5</v>
      </c>
      <c r="J39" s="2">
        <v>1</v>
      </c>
      <c r="K39" s="2" t="b">
        <v>0</v>
      </c>
      <c r="L39" s="2">
        <v>2</v>
      </c>
      <c r="M39" s="2">
        <v>0</v>
      </c>
      <c r="N39" s="2">
        <v>0</v>
      </c>
    </row>
    <row r="40" spans="1:15" ht="364" x14ac:dyDescent="0.25">
      <c r="A40" s="2" t="s">
        <v>133</v>
      </c>
      <c r="B40" s="2" t="s">
        <v>121</v>
      </c>
      <c r="C40" s="2" t="s">
        <v>134</v>
      </c>
      <c r="D40" s="2" t="s">
        <v>135</v>
      </c>
      <c r="E40" s="2">
        <v>1</v>
      </c>
      <c r="F40" s="2">
        <v>1</v>
      </c>
      <c r="G40" s="2">
        <v>1</v>
      </c>
      <c r="H40" s="2">
        <v>1</v>
      </c>
      <c r="I40" s="4">
        <v>0.66700000000000004</v>
      </c>
      <c r="J40" s="2">
        <v>0.66700000000000004</v>
      </c>
      <c r="K40" s="2" t="b">
        <v>0</v>
      </c>
      <c r="L40" s="2">
        <v>2</v>
      </c>
      <c r="M40" s="2">
        <v>0</v>
      </c>
      <c r="N40" s="2">
        <v>2</v>
      </c>
    </row>
    <row r="41" spans="1:15" ht="406" x14ac:dyDescent="0.25">
      <c r="A41" s="2" t="s">
        <v>136</v>
      </c>
      <c r="B41" s="2" t="s">
        <v>121</v>
      </c>
      <c r="C41" s="2" t="s">
        <v>137</v>
      </c>
      <c r="D41" s="2" t="s">
        <v>138</v>
      </c>
      <c r="E41" s="2">
        <v>1</v>
      </c>
      <c r="F41" s="2">
        <v>1</v>
      </c>
      <c r="G41" s="2">
        <v>1</v>
      </c>
      <c r="H41" s="2">
        <v>1</v>
      </c>
      <c r="I41" s="4">
        <v>1</v>
      </c>
      <c r="J41" s="2">
        <v>0.8</v>
      </c>
      <c r="K41" s="2" t="b">
        <v>0</v>
      </c>
      <c r="L41" s="2">
        <v>2</v>
      </c>
      <c r="M41" s="2">
        <v>0</v>
      </c>
      <c r="N41" s="2">
        <v>1</v>
      </c>
    </row>
    <row r="42" spans="1:15" ht="350" x14ac:dyDescent="0.25">
      <c r="A42" s="2" t="s">
        <v>139</v>
      </c>
      <c r="B42" s="2" t="s">
        <v>121</v>
      </c>
      <c r="C42" s="2" t="s">
        <v>140</v>
      </c>
      <c r="D42" s="2" t="s">
        <v>141</v>
      </c>
      <c r="E42" s="2">
        <v>1</v>
      </c>
      <c r="F42" s="2">
        <v>1</v>
      </c>
      <c r="G42" s="2">
        <v>1</v>
      </c>
      <c r="H42" s="2">
        <v>1</v>
      </c>
      <c r="I42" s="4">
        <v>1</v>
      </c>
      <c r="J42" s="2">
        <v>0.66700000000000004</v>
      </c>
      <c r="K42" s="2" t="b">
        <v>0</v>
      </c>
      <c r="L42" s="2">
        <v>2</v>
      </c>
      <c r="M42" s="2">
        <v>0</v>
      </c>
      <c r="N42" s="2">
        <v>2</v>
      </c>
    </row>
    <row r="43" spans="1:15" ht="409.5" x14ac:dyDescent="0.25">
      <c r="A43" s="2" t="s">
        <v>142</v>
      </c>
      <c r="B43" s="2" t="s">
        <v>121</v>
      </c>
      <c r="C43" s="2" t="s">
        <v>143</v>
      </c>
      <c r="D43" s="2" t="s">
        <v>144</v>
      </c>
      <c r="E43" s="2">
        <v>0</v>
      </c>
      <c r="F43" s="2">
        <v>0</v>
      </c>
      <c r="G43" s="2">
        <v>0</v>
      </c>
      <c r="H43" s="2">
        <v>0</v>
      </c>
      <c r="I43" s="4">
        <v>0.5</v>
      </c>
      <c r="J43" s="2">
        <v>0.66700000000000004</v>
      </c>
      <c r="K43" s="2" t="b">
        <v>0</v>
      </c>
      <c r="L43" s="2">
        <v>2</v>
      </c>
      <c r="M43" s="2">
        <v>1</v>
      </c>
      <c r="N43" s="2">
        <v>1</v>
      </c>
    </row>
    <row r="44" spans="1:15" ht="42" x14ac:dyDescent="0.25">
      <c r="A44" s="2" t="s">
        <v>145</v>
      </c>
      <c r="B44" s="2" t="s">
        <v>146</v>
      </c>
      <c r="C44" s="2" t="s">
        <v>147</v>
      </c>
      <c r="D44" s="2" t="s">
        <v>148</v>
      </c>
      <c r="J44" s="2">
        <v>1</v>
      </c>
      <c r="K44" s="2" t="b">
        <v>1</v>
      </c>
      <c r="L44" s="2">
        <v>1</v>
      </c>
      <c r="M44" s="2">
        <v>0</v>
      </c>
      <c r="N44" s="2">
        <v>0</v>
      </c>
      <c r="O44" s="2" t="b">
        <v>1</v>
      </c>
    </row>
    <row r="45" spans="1:15" ht="56" x14ac:dyDescent="0.25">
      <c r="A45" s="2" t="s">
        <v>149</v>
      </c>
      <c r="B45" s="2" t="s">
        <v>146</v>
      </c>
      <c r="C45" s="2" t="s">
        <v>147</v>
      </c>
      <c r="D45" s="2" t="s">
        <v>148</v>
      </c>
      <c r="J45" s="2">
        <v>1</v>
      </c>
      <c r="K45" s="2" t="b">
        <v>1</v>
      </c>
      <c r="L45" s="2">
        <v>1</v>
      </c>
      <c r="M45" s="2">
        <v>0</v>
      </c>
      <c r="N45" s="2">
        <v>0</v>
      </c>
      <c r="O45" s="2" t="b">
        <v>1</v>
      </c>
    </row>
    <row r="46" spans="1:15" ht="28" x14ac:dyDescent="0.25">
      <c r="A46" s="2" t="s">
        <v>150</v>
      </c>
      <c r="B46" s="2" t="s">
        <v>146</v>
      </c>
      <c r="C46" s="2" t="s">
        <v>147</v>
      </c>
      <c r="D46" s="2" t="s">
        <v>148</v>
      </c>
      <c r="J46" s="2">
        <v>1</v>
      </c>
      <c r="K46" s="2" t="b">
        <v>1</v>
      </c>
      <c r="L46" s="2">
        <v>1</v>
      </c>
      <c r="M46" s="2">
        <v>0</v>
      </c>
      <c r="N46" s="2">
        <v>0</v>
      </c>
      <c r="O46" s="2" t="b">
        <v>1</v>
      </c>
    </row>
    <row r="47" spans="1:15" ht="70" x14ac:dyDescent="0.25">
      <c r="A47" s="2" t="s">
        <v>151</v>
      </c>
      <c r="B47" s="2" t="s">
        <v>146</v>
      </c>
      <c r="C47" s="2" t="s">
        <v>147</v>
      </c>
      <c r="D47" s="2" t="s">
        <v>148</v>
      </c>
      <c r="J47" s="2">
        <v>1</v>
      </c>
      <c r="K47" s="2" t="b">
        <v>1</v>
      </c>
      <c r="L47" s="2">
        <v>1</v>
      </c>
      <c r="M47" s="2">
        <v>0</v>
      </c>
      <c r="N47" s="2">
        <v>0</v>
      </c>
      <c r="O47" s="2" t="b">
        <v>1</v>
      </c>
    </row>
    <row r="48" spans="1:15" ht="42" x14ac:dyDescent="0.25">
      <c r="A48" s="2" t="s">
        <v>152</v>
      </c>
      <c r="B48" s="2" t="s">
        <v>146</v>
      </c>
      <c r="C48" s="2" t="s">
        <v>147</v>
      </c>
      <c r="D48" s="2" t="s">
        <v>148</v>
      </c>
      <c r="J48" s="2">
        <v>1</v>
      </c>
      <c r="K48" s="2" t="b">
        <v>1</v>
      </c>
      <c r="L48" s="2">
        <v>1</v>
      </c>
      <c r="M48" s="2">
        <v>0</v>
      </c>
      <c r="N48" s="2">
        <v>0</v>
      </c>
      <c r="O48" s="2" t="b">
        <v>1</v>
      </c>
    </row>
    <row r="49" spans="1:15" ht="42" x14ac:dyDescent="0.25">
      <c r="A49" s="2" t="s">
        <v>153</v>
      </c>
      <c r="B49" s="2" t="s">
        <v>146</v>
      </c>
      <c r="C49" s="2" t="s">
        <v>147</v>
      </c>
      <c r="D49" s="2" t="s">
        <v>148</v>
      </c>
      <c r="J49" s="2">
        <v>1</v>
      </c>
      <c r="K49" s="2" t="b">
        <v>1</v>
      </c>
      <c r="L49" s="2">
        <v>1</v>
      </c>
      <c r="M49" s="2">
        <v>0</v>
      </c>
      <c r="N49" s="2">
        <v>0</v>
      </c>
      <c r="O49" s="2" t="b">
        <v>1</v>
      </c>
    </row>
    <row r="50" spans="1:15" ht="42" x14ac:dyDescent="0.25">
      <c r="A50" s="2" t="s">
        <v>154</v>
      </c>
      <c r="B50" s="2" t="s">
        <v>146</v>
      </c>
      <c r="C50" s="2" t="s">
        <v>147</v>
      </c>
      <c r="D50" s="2" t="s">
        <v>148</v>
      </c>
      <c r="J50" s="2">
        <v>1</v>
      </c>
      <c r="K50" s="2" t="b">
        <v>1</v>
      </c>
      <c r="L50" s="2">
        <v>1</v>
      </c>
      <c r="M50" s="2">
        <v>0</v>
      </c>
      <c r="N50" s="2">
        <v>0</v>
      </c>
      <c r="O50" s="2" t="b">
        <v>1</v>
      </c>
    </row>
    <row r="51" spans="1:15" ht="42" x14ac:dyDescent="0.25">
      <c r="A51" s="2" t="s">
        <v>155</v>
      </c>
      <c r="B51" s="2" t="s">
        <v>146</v>
      </c>
      <c r="C51" s="2" t="s">
        <v>147</v>
      </c>
      <c r="D51" s="2" t="s">
        <v>148</v>
      </c>
      <c r="J51" s="2">
        <v>1</v>
      </c>
      <c r="K51" s="2" t="b">
        <v>1</v>
      </c>
      <c r="L51" s="2">
        <v>1</v>
      </c>
      <c r="M51" s="2">
        <v>0</v>
      </c>
      <c r="N51" s="2">
        <v>0</v>
      </c>
      <c r="O51" s="2" t="b">
        <v>1</v>
      </c>
    </row>
    <row r="53" spans="1:15" x14ac:dyDescent="0.25">
      <c r="A53" s="2" t="s">
        <v>156</v>
      </c>
      <c r="E53" s="2">
        <f>AVERAGEIFS(E2:E51,K2:K51,FALSE)</f>
        <v>0.9285714285714286</v>
      </c>
      <c r="F53" s="2">
        <f>AVERAGEIFS(F2:F51,K2:K51,FALSE)</f>
        <v>0.95238095238095233</v>
      </c>
      <c r="G53" s="2">
        <f>AVERAGEIFS(G2:G51,K2:K51,FALSE)</f>
        <v>0.95238095238095233</v>
      </c>
      <c r="H53" s="2">
        <f>AVERAGEIFS(H2:H51,K2:K51,FALSE)</f>
        <v>0.93650793650793651</v>
      </c>
      <c r="I53" s="4">
        <f>AVERAGEIFS(I2:I51,K2:K51,FALSE)</f>
        <v>0.93254761904761907</v>
      </c>
      <c r="J53" s="2">
        <f>AVERAGE(J2:J51)</f>
        <v>0.91300000000000014</v>
      </c>
      <c r="L53" s="2">
        <f>AVERAGE(L2:L51)</f>
        <v>1.9</v>
      </c>
      <c r="M53" s="2">
        <f>AVERAGE(M2:M51)</f>
        <v>0.08</v>
      </c>
      <c r="N53" s="2">
        <f>AVERAGE(N2:N51)</f>
        <v>0.34</v>
      </c>
    </row>
    <row r="54" spans="1:15" x14ac:dyDescent="0.25">
      <c r="A54" s="2" t="s">
        <v>157</v>
      </c>
      <c r="B54" s="2" t="s">
        <v>16</v>
      </c>
      <c r="E54" s="2">
        <f>AVERAGEIFS(E2:E51,B2:B51,"定义类",K2:K51,FALSE)</f>
        <v>0.91666666666666663</v>
      </c>
      <c r="F54" s="2">
        <f>AVERAGEIFS(F2:F51,B2:B51,"定义类",K2:K51,FALSE)</f>
        <v>0.91666666666666663</v>
      </c>
      <c r="G54" s="2">
        <f>AVERAGEIFS(G2:G51,B2:B51,"定义类",K2:K51,FALSE)</f>
        <v>0.91666666666666663</v>
      </c>
      <c r="H54" s="2">
        <f>AVERAGEIFS(H2:H51,B2:B51,"定义类",K2:K51,FALSE)</f>
        <v>0.91666666666666663</v>
      </c>
      <c r="I54" s="4">
        <f>AVERAGEIFS(I2:I51,B2:B51,"定义类",K2:K51,FALSE)</f>
        <v>1</v>
      </c>
      <c r="J54" s="2">
        <f>AVERAGEIF(B2:B51,"定义类",J2:J51)</f>
        <v>0.95949999999999991</v>
      </c>
      <c r="L54" s="2">
        <f>AVERAGEIF(B2:B51,"定义类",L2:L51)</f>
        <v>2.3333333333333335</v>
      </c>
      <c r="M54" s="2">
        <f>AVERAGEIF(B2:B51,"定义类",M2:M51)</f>
        <v>0</v>
      </c>
      <c r="N54" s="2">
        <f>AVERAGEIF(B2:B51,"定义类",N2:N51)</f>
        <v>0.25</v>
      </c>
    </row>
    <row r="55" spans="1:15" ht="28" x14ac:dyDescent="0.25">
      <c r="A55" s="2" t="s">
        <v>158</v>
      </c>
      <c r="B55" s="2" t="s">
        <v>53</v>
      </c>
      <c r="E55" s="2">
        <f>AVERAGEIFS(E2:E51,B2:B51,"方法细节类",K2:K51,FALSE)</f>
        <v>1</v>
      </c>
      <c r="F55" s="2">
        <f>AVERAGEIFS(F2:F51,B2:B51,"方法细节类",K2:K51,FALSE)</f>
        <v>1</v>
      </c>
      <c r="G55" s="2">
        <f>AVERAGEIFS(G2:G51,B2:B51,"方法细节类",K2:K51,FALSE)</f>
        <v>1</v>
      </c>
      <c r="H55" s="2">
        <f>AVERAGEIFS(H2:H51,B2:B51,"方法细节类",K2:K51,FALSE)</f>
        <v>1</v>
      </c>
      <c r="I55" s="4">
        <f>AVERAGEIFS(I2:I51,B2:B51,"方法细节类",K2:K51,FALSE)</f>
        <v>0.86363636363636365</v>
      </c>
      <c r="J55" s="2">
        <f>AVERAGEIF(B2:B51,"方法细节类",J2:J51)</f>
        <v>0.81827272727272726</v>
      </c>
      <c r="L55" s="2">
        <f>AVERAGEIF(B2:B51,"方法细节类",L2:L51)</f>
        <v>1.9090909090909092</v>
      </c>
      <c r="M55" s="2">
        <f>AVERAGEIF(B2:B51,"方法细节类",M2:M51)</f>
        <v>0.27272727272727271</v>
      </c>
      <c r="N55" s="2">
        <f>AVERAGEIF(B2:B51,"方法细节类",N2:N51)</f>
        <v>0.54545454545454541</v>
      </c>
    </row>
    <row r="56" spans="1:15" ht="28" x14ac:dyDescent="0.25">
      <c r="A56" s="2" t="s">
        <v>159</v>
      </c>
      <c r="B56" s="2" t="s">
        <v>87</v>
      </c>
      <c r="E56" s="2">
        <f>AVERAGEIFS(E2:E51,B2:B51,"实验结果类",K2:K51,FALSE)</f>
        <v>1</v>
      </c>
      <c r="F56" s="2">
        <f>AVERAGEIFS(F2:F51,B2:B51,"实验结果类",K2:K51,FALSE)</f>
        <v>1</v>
      </c>
      <c r="G56" s="2">
        <f>AVERAGEIFS(G2:G51,B2:B51,"实验结果类",K2:K51,FALSE)</f>
        <v>1</v>
      </c>
      <c r="H56" s="2">
        <f>AVERAGEIFS(H2:H51,B2:B51,"实验结果类",K2:K51,FALSE)</f>
        <v>1</v>
      </c>
      <c r="I56" s="4">
        <f>AVERAGEIFS(I2:I51,B2:B51,"实验结果类",K2:K51,FALSE)</f>
        <v>1</v>
      </c>
      <c r="J56" s="2">
        <f>AVERAGEIF(B2:B51,"实验结果类",J2:J51)</f>
        <v>0.93945454545454543</v>
      </c>
      <c r="L56" s="2">
        <f>AVERAGEIF(B2:B51,"实验结果类",L2:L51)</f>
        <v>1.9090909090909092</v>
      </c>
      <c r="M56" s="2">
        <f>AVERAGEIF(B2:B51,"实验结果类",M2:M51)</f>
        <v>0</v>
      </c>
      <c r="N56" s="2">
        <f>AVERAGEIF(B2:B51,"实验结果类",N2:N51)</f>
        <v>0.18181818181818182</v>
      </c>
    </row>
    <row r="57" spans="1:15" ht="28" x14ac:dyDescent="0.25">
      <c r="A57" s="2" t="s">
        <v>160</v>
      </c>
      <c r="B57" s="2" t="s">
        <v>121</v>
      </c>
      <c r="E57" s="2">
        <f>AVERAGEIFS(E2:E51,B2:B51,"跨论文比较类",K2:K51,FALSE)</f>
        <v>0.75</v>
      </c>
      <c r="F57" s="2">
        <f>AVERAGEIFS(F2:F51,B2:B51,"跨论文比较类",K2:K51,FALSE)</f>
        <v>0.875</v>
      </c>
      <c r="G57" s="2">
        <f>AVERAGEIFS(G2:G51,B2:B51,"跨论文比较类",K2:K51,FALSE)</f>
        <v>0.875</v>
      </c>
      <c r="H57" s="2">
        <f>AVERAGEIFS(H2:H51,B2:B51,"跨论文比较类",K2:K51,FALSE)</f>
        <v>0.79166666666666663</v>
      </c>
      <c r="I57" s="4">
        <f>AVERAGEIFS(I2:I51,B2:B51,"跨论文比较类",K2:K51,FALSE)</f>
        <v>0.83337499999999998</v>
      </c>
      <c r="J57" s="2">
        <f>AVERAGEIF(B2:B51,"跨论文比较类",J2:J51)</f>
        <v>0.85012499999999991</v>
      </c>
      <c r="L57" s="2">
        <f>AVERAGEIF(B2:B51,"跨论文比较类",L2:L51)</f>
        <v>2.125</v>
      </c>
      <c r="M57" s="2">
        <f>AVERAGEIF(B2:B51,"跨论文比较类",M2:M51)</f>
        <v>0.125</v>
      </c>
      <c r="N57" s="2">
        <f>AVERAGEIF(B2:B51,"跨论文比较类",N2:N51)</f>
        <v>0.75</v>
      </c>
    </row>
    <row r="58" spans="1:15" ht="28" x14ac:dyDescent="0.25">
      <c r="A58" s="2" t="s">
        <v>161</v>
      </c>
      <c r="B58" s="2" t="s">
        <v>146</v>
      </c>
      <c r="E58" s="2" t="e">
        <f>AVERAGEIFS(E2:E51,B2:B51,"不可回答类",K2:K51,FALSE)</f>
        <v>#DIV/0!</v>
      </c>
      <c r="F58" s="2" t="e">
        <f>AVERAGEIFS(F2:F51,B2:B51,"不可回答类",K2:K51,FALSE)</f>
        <v>#DIV/0!</v>
      </c>
      <c r="G58" s="2" t="e">
        <f>AVERAGEIFS(G2:G51,B2:B51,"不可回答类",K2:K51,FALSE)</f>
        <v>#DIV/0!</v>
      </c>
      <c r="H58" s="2" t="e">
        <f>AVERAGEIFS(H2:H51,B2:B51,"不可回答类",K2:K51,FALSE)</f>
        <v>#DIV/0!</v>
      </c>
      <c r="I58" s="4" t="e">
        <f>AVERAGEIFS(I2:I51,B2:B51,"不可回答类",K2:K51,FALSE)</f>
        <v>#DIV/0!</v>
      </c>
      <c r="J58" s="2">
        <f>AVERAGEIF(B2:B51,"不可回答类",J2:J51)</f>
        <v>1</v>
      </c>
      <c r="L58" s="2">
        <f>AVERAGEIF(B2:B51,"不可回答类",L2:L51)</f>
        <v>1</v>
      </c>
      <c r="M58" s="2">
        <f>AVERAGEIF(B2:B51,"不可回答类",M2:M51)</f>
        <v>0</v>
      </c>
      <c r="N58" s="2">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2026-06-02T11:56:17Z</dcterms:created>
  <dcterms:modified xsi:type="dcterms:W3CDTF">2026-06-02T15:03:07Z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6b163eaa-64da-44f2-b4bc-5c67811265ad</vt:lpwstr>
  </property>
</Properties>
</file>