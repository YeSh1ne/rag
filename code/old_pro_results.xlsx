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4442801F-8EAD-4F5D-969A-54DA012F2E14}"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<sst xmlns="http://schemas.openxmlformats.org/spreadsheetml/2006/main" count="226" uniqueCount="159">
  <si>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</si>
  <si>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</si>
  <si>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</si>
  <si>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</si>
  <si>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</si>
  <si>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</si>
  <si>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</si>
  <si>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</si>
  <si>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</si>
  <si>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</si>
  <si>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</si>
  <si>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</si>
  <si>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</si>
  <si>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</si>
  <si>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</si>
  <si>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</si>
  <si>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</si>
  <si>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</si>
  <si>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根据该论文，post-training scaling 主要分为三类方法：监督微调（Supervised Fine-tuning）、强化学习（Reinforcement Learning）和测试时计算（Test-time Compute）。
来自: [2025.acl-long.140_A Survey of Post-Training Scaling in Large Language Models, 第2页, 2025.acl-long.140_A Survey of Post-Training Scaling in Large Language Models_chunk_005]</t>
  </si>
  <si>
    <t>RAG噪声被分为哪两类？</t>
  </si>
  <si>
    <t>RAG噪声被分为有益噪声（beneficial noise）和有害噪声（harmful noise）。</t>
  </si>
  <si>
    <t>RAG噪声被分为有益噪声（beneficial noise）和有害噪声（harmful noise）两类。
来自: [2025.acl-long.250_Pandora s Box or Aladdin s Lamp, 第2页, 2025.acl-long.250_Pandora s Box or Aladdin s Lamp_chunk_005]</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</si>
  <si>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</si>
  <si>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</si>
  <si>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新颖的基准，专门用于评估长上下文语言模型（LCLMs）的**长上下文引用能力**。具体来说，它要求模型在给定多个带索引的长文档和一个特定键（key）时，不仅要检索出该键在文档中的出现位置，还要准确识别出所有**引用该键**（而非其他相似项）的文档的索引，从而强调对键与周围上下文之间关系的深层理解，而不是简单的文本匹配或检索。
来自: [2025.acl-long.1162_Ref-Long, 第1页, 2025.acl-long.1162_Ref-Long_chunk_000]  
来自: [2025.acl-long.1162_Ref-Long, 第2页, 2025.acl-long.1162_Ref-Long_chunk_002]</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</si>
  <si>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</si>
  <si>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</si>
  <si>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合成上下文归因数据的方法。给定选定的上下文句子，由大语言模型（LLM）生成完全由这些句子支持的问答对，从而确保合成训练数据具有清晰的归因路径。该方法包含三个步骤：上下文选择、问答生成和干扰项挖掘。
来自: [2025.acl-long.828_On Synthesizing Data for Context Attribution in Question Answering, 第2页, 2025.acl-long.828_On Synthesizing Data for Context Attribution in Question Answering_chunk_004]</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</si>
  <si>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</si>
  <si>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</si>
  <si>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 是一个旨在增强大语言模型长上下文理解能力的框架，其核心是 Chain-of-Clarifications (CoC)。该框架通过 agentic 工作流，让模型迭代地生成自我澄清问题、从长上下文中检索相关证据并回答这些问题，从而逐步完善推理。具体实现上，AgenticLU 先通过树搜索构建有效的 CoC 路径，再通过监督微调（SFT）和直接偏好优化（DPO）将这些路径蒸馏到模型中，使模型在单次推理中即可高效完成澄清与上下文 grounding。
来自: [2025.acl-long.275_Self-Taught Agentic Long Context Understanding, 第1页, 2025.acl-long.275_Self-Taught Agentic Long Context Understanding_chunk_000]
来自: [2025.acl-long.275_Self-Taught Agentic Long Context Understanding, 第1页, 2025.acl-long.275_Self-Taught Agentic Long Context Understanding_chunk_001]
来自: [2025.acl-long.275_Self-Taught Agentic Long Context Understanding, 第1页, 2025.acl-long.275_Self-Taught Agentic Long Context Understanding_chunk_002]</t>
  </si>
  <si>
    <t>什么是Agentic Reasoning框架?</t>
  </si>
  <si>
    <t>Agentic Reasoning是一个通过集成外部工具使用代理来增强大型语言模型推理的框架。</t>
  </si>
  <si>
    <t>Agentic Reasoning 是一个通过集成外部基于 LLM 的代理作为工具来增强推理的框架。它允许 LLM 在推理过程中将特定任务委派给辅助代理，从而提升整体问题解决能力。该框架包含三个核心代理：用于检索互联网信息的 Web-Search 代理、用于执行计算和编码任务的 Code 代理，以及用于构建知识图谱以组织复杂逻辑关系的 Mind-Map（记忆）代理。
来自: [2025.acl-long.1383_Agentic Reasoning, 第2页, 2025.acl-long.1383_Agentic Reasoning_chunk_003]</t>
  </si>
  <si>
    <t xml:space="preserve"> REAL-MM-RAG基准测试的四个关键属性是：(i) 多模态文档，(ii) 增强的难度，(iii) 真实的RAG查询，(iv) 准确的标注。</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</si>
  <si>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</si>
  <si>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</si>
  <si>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旨在让大语言模型对不完美的检索增强具有鲁棒性，同时在检索可靠时保留其基础效应。它通过自适应地引出LLM内部知识，以源感知的方式迭代整合内部与外部知识，区分一致与冲突信息，评估可靠性，并最终根据最可信的知识生成答案。其用途是克服不完美检索带来的负面影响，解决知识冲突，提升RAG系统的鲁棒性和可信度，即使在所有检索段落都无帮助的最坏情况下，也能达到甚至超越无RAG的LLM性能。
来自: [2025.acl-long.1476_Astute RAG, 第2页, 2025.acl-long.1476_Astute RAG_chunk_004]
来自: [2025.acl-long.1476_Astute RAG, 第1页, 2025.acl-long.1476_Astute RAG_chunk_000]
来自: [2025.acl-long.1476_Astute RAG, 第9页, 2025.acl-long.1476_Astute RAG_chunk_020]</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</si>
  <si>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</si>
  <si>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</si>
  <si>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 是一个开箱即用的评估套件，用于评估长上下文模型（LCMs）在长上下文理解任务中的生成质量和忠实度（fidelity）。它包含一个涵盖 5 大任务类别、11 项不同任务且上下文长度从 8K 到 48K 的综合基准测试，以及配套的自动评估指标和验证流水线，并要求模型在生成回答的同时提供支持性引用。
来自: [2025.acl-long.263_L-CiteEval, 第1页, 2025.acl-long.263_L-CiteEval_chunk_000] 和 [2025.acl-long.263_L-CiteEval, 第1页, 2025.acl-long.263_L-CiteEval_chunk_002]</t>
  </si>
  <si>
    <t xml:space="preserve"> LongBench v2基准测试包含多少个问题？上下文长度范围是多少？</t>
  </si>
  <si>
    <t>LongBench v2包含503个具有挑战性的多项选择题，上下文长度范围从8,000到200万个单词。</t>
  </si>
  <si>
    <t>LongBench v2基准测试包含503个多项选择题，上下文长度范围为8k到2M词。
来自: [2025.acl-long.183_LongBench v2, 第1页, 2025.acl-long.183_LongBench v2_chunk_002]</t>
  </si>
  <si>
    <t>RHIO框架的三个主要组成部分是什么？</t>
  </si>
  <si>
    <t>RHIO框架包含三个主要组件：1.不忠实数据增强, 2.忠实度感知调优, 3.自诱导解码</t>
  </si>
  <si>
    <t>RHIO框架的三个主要组成部分是：不忠实数据增强（Unfaithful Data Augmentation）、忠实性感知微调（Faithfulness-Aware Tuning）和自我诱导解码（Self-Induced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</si>
  <si>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在论文《How to Train Long-Context Language Models (Effectively)》中，作者在进行监督微调（SFT）阶段时，对于长上下文模型的指令微调数据选择得出了什么反直觉的结论？</t>
  </si>
  <si>
    <t>方法细节类</t>
  </si>
  <si>
    <t>作者发现，仅使用标准的、短上下文的指令数据集（如 UltraChat）进行微调，就能在长上下文任务上取得最佳效果。反直觉的是，引入合成的长上下文指令数据（synthetic long instruction data）并没有提升性能，甚至在某些比例下导致了性能下降。</t>
  </si>
  <si>
    <t>在监督微调阶段，作者发现使用标准的短上下文指令数据反而能获得最佳的长上下文性能，这与许多先前工作采用合成生成的长数据做法相反，是一个反直觉的结论。
来自: [2025.acl-long.366_How to Train Long-Context Language Models (Effectively), 第8页, 2025.acl-long.366_How to Train Long-Context Language Models (Effectively)_chunk_023]</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</si>
  <si>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</si>
  <si>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</si>
  <si>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知识整合（knowledge consolidation）过程包含三个主要步骤：识别跨段落的一致信息、检测一致信息组之间的冲突信息、以及过滤无关信息。
来自: [2025.acl-long.1476_Astute RAG, 第5页, 2025.acl-long.1476_Astute RAG_chunk_011]</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</si>
  <si>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</si>
  <si>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</si>
  <si>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通过将推理过程拆分为离线阶段和在线阶段来降低在线延迟。离线阶段预先对语料库中的文档执行层次化文档结构化任务；在线阶段仅需对用户查询进行分析，然后进行自适应精炼生成最终输出。由于在线阶段只需处理数百个输入 token 并生成数十个输出 token，整体延迟仅为标准设置的约 25%。
来自: [2025.acl-long.176_Hierarchical Document Refinement for Long-context Retrieval-augmented Generation, 第6页, 2025.acl-long.176_Hierarchical Document Refinement for Long-context Retrieval-augmented Generation_chunk_013]</t>
  </si>
  <si>
    <t>DRAG框架如何保护用户隐私？请描述其隐私保护机制。</t>
  </si>
  <si>
    <t>DRAG通过传输去标识化的查询和结构化知识而不是完整响应来保护用户隐私。这样可以避免传输完整的用户查询和敏感信息。</t>
  </si>
  <si>
    <t>DRAG框架通过本地小模型对用户查询进行重新表述，剥离其中的敏感信息，再将处理后的查询发送至云端大模型。云端模型据此生成相关证据和知识图谱并返回本地，最终由本地小模型利用这些信息生成答案。这一流程确保用户的原始隐私数据不会直接暴露给云端，同时仍能借助大模型的知识能力。
来自: [2025.acl-long.358_DRAG, 第5页, 2025.acl-long.358_DRAG_chunk_010]  
来自: [2025.acl-long.358_DRAG, 第2页, 2025.acl-long.358_DRAG_chunk_002]</t>
  </si>
  <si>
    <t>简述 Think&amp; Cite 框架中 SG-MCTS 的工作流程及其步骤数量。</t>
  </si>
  <si>
    <t>SG-MCTS利用LLMs的自反思能力来推理MCTS的中间状态，以指导树扩展过程。在每次迭代中，SG-MCTS 遵循四个步骤，即选择、反思引导的扩展、评估和反向传播。</t>
  </si>
  <si>
    <t>SG-MCTS 将属性文本生成建模为多步推理问题，通过构建搜索树来规划生成路径。每次迭代包含四个步骤：  
1. **选择**：利用 UCT 算法从当前树中选择最优节点进行扩展。  
2. **反射引导的扩展**：利用 LLM 的自我反思能力对中间状态进行批评和修正，引导树扩展并主动避开错误路径。  
3. **评估**：通过进度奖励模型从生成进度和归因进度两方面衡量搜索进展。  
4. **反向传播**：将评估结果沿路径回传，更新节点统计信息。  
因此，SG-MCTS 的工作流程由上述 4 个步骤组成。
来自: [2025.acl-long.490_Think&amp;Cite, 第3页, 2025.acl-long.490_Think&amp;Cite_chunk_006]</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</si>
  <si>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</si>
  <si>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</si>
  <si>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的段落选择提示引导的关键过程包含以下三个步骤：
1. **枚举信息需求**：列出回答查询所需的关键信息需求。
2. **匹配段落与需求**：针对每个信息需求，识别包含相关信息的段落。
3. **选择最优段落子集**：从候选段落中选出一个子集，该子集能够共同提供最全面、最多样化的信息覆盖，以有效回答查询。
来自: [2025.acl-long.861_Shifting from Ranking to Set Selection for Retrieval Augmented Generation, 第3页, 2025.acl-long.861_Shifting from Ranking to Set Selection for Retrieval Augmented Generation_chunk_006]</t>
  </si>
  <si>
    <t>Meta-Bench基准测试中，α参数的最优范围是多少？这个参数的作用是什么？</t>
  </si>
  <si>
    <t>α参数的最优范围在0.65到0.8之间。这个参数用于平衡工具描述和参数描述在工具检索中的权重。</t>
  </si>
  <si>
    <t>在Meta-Bench的简单设置下，α是平衡工具描述与参数描述在工具检索中贡献的权重因子。实验表明，随着α增大，命中率呈先升后降的趋势，最优范围在 **0.65 到 0.8** 之间。适当引入参数描述并合理加权，能够提升检索效果。
来自: [2025.acl-long.1481_Meta-Tool, 第20页, 2025.acl-long.1481_Meta-Tool_chunk_033]</t>
  </si>
  <si>
    <t>CypherBench 是如何从 RDF 图生成领域特定属性图的？</t>
  </si>
  <si>
    <t>CypherBench 通过将 RDF 图转换为多个领域特定的属性图（domain-specific property graphs）来实现这一过程，并使用 Cypher 语言对其进行查询。</t>
  </si>
  <si>
    <t>CypherBench 通过以下步骤从 RDF 图生成领域特定的属性图：首先，手动为每个领域策划属性图模式，并建立从 Wikidata 模式到该模式的映射（包括实体类型、关系类型和属性的对应标识符）。然后，利用 RDF 到属性图的转换层，通过执行 SPARQL 查询并聚合结果（而非处理整个 RDF 转储）来提取数据，同时进行数据类型转换和单位标准化，最终生成模式强制、严格类型的数据。这些属性图作为底层 RDF 图的物化视图，可高效被 LLM 查询。
来自: [2025.acl-long.438_CypherBench, 第4页, 2025.acl-long.438_CypherBench_chunk_007]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</si>
  <si>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</si>
  <si>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</si>
  <si>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依次为：第一阶段仅使用医学笔记训练小语言模型，使其生成疾病诊断及基于笔记的理由，建立对文本临床信息的基础理解；第二阶段引入知识增强注意力模块，将数值型实验室测试与结构化医学知识对齐，蒸馏出基于实验室测试的理由；第三阶段完全整合医学笔记、实验室测试和结构化领域知识，使模型能够生成融合文本与数值信息的多模态临床理由，以支持疾病诊断。
来自: [2025.acl-long.540_Knowledge-Augmented Multimodal Clinical Rationale Generation for Disease Diagnosis with Small Language Models, 第4页, 2025.acl-long.540_Knowledge-Augmented Multimodal Clinical Rationale Generation for Disease Diagnosis with Small Language Models_chunk_008]  
来自: [2025.acl-long.540_Knowledge-Augmented Multimodal Clinical Rationale Generation for Disease Diagnosis with Small Language Models, 第5页, 2025.acl-long.540_Knowledge-Augmented Multimodal Clinical Rationale Generation for Disease Diagnosis with Small Language Models_chunk_010]</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</si>
  <si>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</si>
  <si>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</si>
  <si>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 从查询中心（query-centric）的视角解决文档-查询差距。它首先为每个文档生成多样化的潜在查询（如 5W1H），然后通过蒙特卡洛方法估计这些查询嵌入的聚类中心，并用该中心替代原始文档嵌入进行索引。这样，文档表示与用户查询在语义上更对齐，从而弥合差距。同时，为避免所有文档表示都变得“像查询”而丧失可区分性，QAEncoder 进一步引入文档指纹策略，将文档的独特身份重新注入表示中，在保持对齐的同时确保文档间的区分度，实现最先进的性能。该方法无需训练，避免了额外索引存储、检索延迟和伪文档生成中的幻觉问题。
来自: [2025.acl-long.217_QAEncoder, 第1页, 2025.acl-long.217_QAEncoder_chunk_003]  
来自: [2025.acl-long.217_QAEncoder, 第2页, 2025.acl-long.217_QAEncoder_chunk_004]</t>
  </si>
  <si>
    <t>在 HALOGEN 的文本简化任务中，如何验证模型生成的简化文本是否忠实于原文？</t>
  </si>
  <si>
    <t>先用 GPT-3.5-turbo 将简化文本分解为独立的原子事实，再用 Llama-2-70B-chat 判断每个原子事实是否被原文蕴含。</t>
  </si>
  <si>
    <t>在 HALOGEN 的文本简化任务中，验证过程与摘要任务相同：首先使用 GPT-3.5 将模型生成的简化文本分解为独立的原子事实，然后使用 Llama-2-70B 对每个原子事实进行蕴含判断，以确定其是否忠实于原文。
来自: [2025.acl-long.71_HALoGEN, 第3页, 2025.acl-long.71_HALoGEN_chunk_006]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</si>
  <si>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</si>
  <si>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</si>
  <si>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</si>
  <si>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scenario中，GPT-4o表现最佳，而Llama-3-70B与GPT-4o-mini表现相当；在Full scenario中，Llama-3-70B则优于GPT-4o，取得了最佳性能。
来自: [2025.acl-long.1574_CiteEval, 第7页, 2025.acl-long.1574_CiteEval_chunk_018]</t>
  </si>
  <si>
    <t>"FaithfulRAG"在FaithEval数据集上使用Mistral-7B作为backbone时的准确率是多少？相比最强基线提高了多少？</t>
  </si>
  <si>
    <t>81.7%，比最强基线(KRE的73.2%)提高了8.5%。</t>
  </si>
  <si>
    <t>在FaithEval数据集上，FaithfulRAG使用Mistral-7B作为backbone时的准确率为81.7%，相比最强基线（KRE的73.2%）提高了8.5%。
来自: [2025.acl-long.1062_FaithfulRAG, 第7页, 2025.acl-long.1062_FaithfulRAG_chunk_019]</t>
  </si>
  <si>
    <t>RankCoT 相对于 vanilla RAG 模型的表现如何？这说明了什么？</t>
  </si>
  <si>
    <t>RankCoT 相比 vanilla RAG 模型有 2.5% 的提升，表明它在提供更有意义的细化方面有效，有助于 LLM 更好地回答问题。</t>
  </si>
  <si>
    <t>RankCoT 在整体性能上比 vanilla RAG 模型提升了 2.5%，并且在 Has-Answer 和 Miss-Answer 场景中均优于 vanilla RAG，表明其能够有效提取查询相关信息、过滤噪声，从而帮助 LLM 更准确地回答问题。
来自: [2025.acl-long.629_RankCoT, 第6页, 2025.acl-long.629_RankCoT_chunk_018] 和 [2025.acl-long.629_RankCoT, 第7页, 2025.acl-long.629_RankCoT_chunk_022]</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</si>
  <si>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</si>
  <si>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</si>
  <si>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LLM（GPT-4）生成事实的幻觉率范围是 3% 到 86%，具体取决于任务类型。
来自: [2025.acl-long.71_HALoGEN, 第1页, 2025.acl-long.71_HALoGEN_chunk_001]</t>
  </si>
  <si>
    <t xml:space="preserve"> 在LongBench v2基准测试中，人类专家在15分钟时间限制下的准确率是多少？</t>
  </si>
  <si>
    <t>人类专家在15分钟时间限制下的准确率为53.7%。</t>
  </si>
  <si>
    <t>在LongBench v2基准测试中，人类专家在15分钟时间限制下的准确率为53.7%。
来自: [2025.acl-long.183_LongBench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</si>
  <si>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</si>
  <si>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</si>
  <si>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 在 WebShop、ALFWorld 和 BabyAI 任务上均显著优于 GPT-4-Turbo，分别高出 61.00、20.50 和 9.87 个点。
来自: [2025.acl-long.1355_AgentGym, 第7页, 2025.acl-long.1355_AgentGym_chunk_020]</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</si>
  <si>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</si>
  <si>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</si>
  <si>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Exam数据集上，Agentic Reasoning与DeepSeek-R1结合后，准确率从9.4%提升至23.8%，提升了14.4个百分点。与OpenAI Deep Research的差距从原来的17.2个百分点缩小至2.8个百分点。
来自: [2025.acl-long.1383_Agentic Reasoning, 第1页, 2025.acl-long.1383_Agentic Reasoning_chunk_002]</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</si>
  <si>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</si>
  <si>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</si>
  <si>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1上得分为74.36，Level 2上为69.21，Level 3上为45.46，平均分66.13，在所有公开方法中达到了最优水平。与OpenAI的Deep Research相比，该方法在Level 1和Level 2任务上表现更优，在Level 3上的差距也缩小至2.26%。
来自: [2025.acl-long.1383_Agentic Reasoning, 第5页, 2025.acl-long.1383_Agentic Reasoning_chunk_010]</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</si>
  <si>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</si>
  <si>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</si>
  <si>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的整体表现优于所有Med-MLLMs。具体而言，即使是平均准确率仅为57.4%的初级医生，也略微超过了表现最好的Med-MLLM——GPT-4V（准确率54.3%）。在所有专科中，人类医生的诊断准确率均高于Med-MLLMs。不过，GPT-4V的表现最接近人类医生，甚至以0.005的微弱优势超过了某位医生（Doctor2），这表明当前模型虽存在局限，但已具备辅助临床判断的潜力。
来自: [2025.acl-long.1178_Asclepius, 第7页, 2025.acl-long.1178_Asclepius_chunk_016]
来自: [2025.acl-long.1178_Asclepius, 第14页, 2025.acl-long.1178_Asclepius_chunk_022]
来自: [2025.acl-long.1178_Asclepius, 第6页, 2025.acl-long.1178_Asclepius_chunk_013]</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</si>
  <si>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</si>
  <si>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</si>
  <si>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是唯一达到及格标准的模型，以64.5分的总成绩位居所有模型之首。开源模型整体表现较弱，其中得分最高的是Qwen2-VL（30.6分），LLaVA-OneVision分别取得22.0和25.0分，其余开源模型得分均未超过20分。
来自: [2025.acl-long.57_LongDocURL, 第6页, 2025.acl-long.57_LongDocURL_chunk_013]
来自: [2025.acl-long.57_LongDocURL, 第2页, 2025.acl-long.57_LongDocURL_chunk_003]</t>
  </si>
  <si>
    <t>实验结果表明，RAGEval 的机器自动评估与人工评估在所有指标上均表现出高度一致性。两者之间的最终绝对差异仅为 1.67%。</t>
  </si>
  <si>
    <t>根据已有信息，无法回答此问题。</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</si>
  <si>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</si>
  <si>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</si>
  <si>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</si>
  <si>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RAG》通过**自适应内部知识生成（adaptive generation of internal knowledge）** 模块来提取内部知识，即利用提示模板 \(p_{gen}\) 让大模型直接生成与查询相关的内部段落 \(I\)。  
《FaithfulRAG》则采用**自事实挖掘（Self-Fact Mining）** 模块，该模块包含三个阶段：自我知识提取（Self-Knowledge Extraction）、自我上下文生成（Self-Context Generation）和自我事实提取（Self-Fact Extraction），将模型的参数化知识具体化为细粒度的事实级表示。
来自: [2025.acl-long.1476_Astute RAG, 第4页, 2025.acl-long.1476_Astute RAG_chunk_008]  
来自: [2025.acl-long.1062_FaithfulRAG, 第4页, 2025.acl-long.1062_FaithfulRAG_chunk_010]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</si>
  <si>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</si>
  <si>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</si>
  <si>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 的核心创新在于提出统一的查询理解框架，使用仅解码器的大语言模型同时完成查询增强与编码，消除了传统方法中任务分离导致的信息共享障碍和累积误差；同时，它将查询增强技术归纳为改写、扩展和抽象三类，并让模型根据用户查询自适应地选择最优增强策略。  
FaithfulRAG 在查询理解方面的核心创新是通过自事实挖掘模块，将大语言模型对问题的理解外化为事实级别的细粒度知识，从而精确定位模型参数知识与检索上下文之间的冲突，为后续的冲突推理与整合奠定基础。
来自: [2025.acl-long.693_UniRAG, 第1页, 2025.acl-long.693_UniRAG_chunk_000]  
来自: [2025.acl-long.1062_FaithfulRAG, 第2页, 2025.acl-long.1062_FaithfulRAG_chunk_005]</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</si>
  <si>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</si>
  <si>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</si>
  <si>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MEMERAG和DragonBall都是用于评估检索增强生成（RAG）系统的基准，但它们在构建方式、语言覆盖、领域范围和评估维度上存在明显差异。
**相同点**  
- 两者均为多语言RAG评估基准，旨在衡量生成答案的质量。  
- 都包含对答案的事实性或相关性维度的评估。
**不同点**  
- **构建方法**：MEMERAG基于已有的MIRACL数据集，使用母语问题并由专家对模型生成的答案进行人工标注；DragonBall则通过自动生成方法构建，覆盖金融、法律、医疗三个特定领域。  
- **语言覆盖**：MEMERAG涵盖英语、德语、西班牙语、法语和印地语5种语言，兼顾高低资源语言；DragonBall仅包含中文和英文。  
- **领域范围**：MEMERAG源自Wikipedia，属于通用领域；DragonBall聚焦于金融、法律、医疗等专业场景。  
- **规模**：DragonBall包含6,711个问题；MEMERAG的规模在片段中未明确提及。
**各自关注的评估维度**  
- **MEMERAG**：关注**忠实度（Faithfulness）**（答案是否基于上下文）和**相关性（Relevance）**（答案是否与问题相关）。  
- **DragonBall**：提出三个新指标——**完整性（Completeness）**、**幻觉（Hallucination）**和**无关性（Irrelevance）**，基于事实关键点评估答案的事实准确性。
来自: [2025.acl-long.1101_MEMERAG, 第3页, 2025.acl-long.1101_MEMERAG_chunk_007]  
来自: [2025.acl-long.1101_MEMERAG, 第1页, 2025.acl-long.1101_MEMERAG_chunk_000]  
来自: [2025.acl-long.418_RAGEval, 第4页, 2025.acl-long.418_RAGEval_chunk_008]  
来自: [2025.acl-long.418_RAGEval, 第2页, 2025.acl-long.418_RAGEval_chunk_002]</t>
  </si>
  <si>
    <t>SYNQA：通过 LLM 生成式合成完全受上下文支持的 QA 对（正样本），用于微调小模型的归因能力。
RHIO：通过选择性掩码检索头，让 LLM 自身生成模拟真实错误的不忠实样本（负样本），并与忠实样本进行联合训练。</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</si>
  <si>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</si>
  <si>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</si>
  <si>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静态的基准测试，旨在评估大语言模型在长上下文（8k–2M词）下进行深度理解与推理的能力，覆盖单文档问答、多文档问答、长上下文学习、长对话历史理解、代码仓库理解、长结构化数据理解等现实任务，采用多项选择题形式。AGENTGYM 则是一个交互式框架，提供7个真实世界场景、14个环境和89个任务，支持统一、实时、并发的智能体交互，用于构建和评估能够进行多轮决策的 LLM 智能体，并支持通过交互探索与反馈实现自我改进或强化学习。两者的核心区别在于：LongBench v2 是面向长文本理解与推理的静态评测集，而 AGENTGYM 是面向智能体多轮交互决策的动态训练与评测平台。
来自: [2025.acl-long.183_LongBench v2, 第1页, 2025.acl-long.183_LongBench v2_chunk_002] [2025.acl-long.183_LongBench v2, 第1页, 2025.acl-long.183_LongBench v2_chunk_000] [2025.acl-long.1355_AgentGym, 第1页, 2025.acl-long.1355_AgentGym_chunk_001]</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</si>
  <si>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</si>
  <si>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</si>
  <si>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AR-MCTS 的核心机制是将**主动检索（Active Retrieval）与蒙特卡洛树搜索（MCTS）**相结合，在 MCTS 的扩展阶段动态引入检索到的相关知识，替代传统的模型自采样，以提升采样多样性与准确性，并进一步通过过程奖励模型实现过程级的多模态推理验证。  
Agentic Reasoning 的核心机制则是**整合思维导图（Mind‑Map）、网络搜索（web search）和代码执行（coding）**等多种外部代理，通过多工具协同来增强大语言模型在复杂推理任务中的表现。
来自: [2025.acl-long.180_Progressive Multimodal Reasoning via Active Retrieval, 第1页, 2025.acl-long.180_Progressive Multimodal Reasoning via Active Retrieval_chunk_000]  
来自: [2025.acl-long.180_Progressive Multimodal Reasoning via Active Retrieval, 第2页, 2025.acl-long.180_Progressive Multimodal Reasoning via Active Retrieval_chunk_003]  
来自: [2025.acl-long.1383_Agentic Reasoning, 第8页, 2025.acl-long.1383_Agentic Reasoning_chunk_017]</t>
  </si>
  <si>
    <t>REAL-MM-RAG：侧重于真实世界检索的四个关键属性：多模态文档、增强难度、真实 RAG 查询、准确标注，不明确划分任务类型。
LongDocURL：明确分为理解、推理、定位三大任务，并按证据元素类型（文本、布局、图表、表格）和页面跨度（单页/多页/跨元素）细分为 20 个子任务。</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</si>
  <si>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</si>
  <si>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</si>
  <si>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 侧重于优化问答系统的**检索阶段**，其核心痛点是现有检索表示（如均值池化）过于简单，难以有效处理复杂、多跳的查询，导致域外泛化能力不足。  
另一篇论文《On Synthesizing Data for Context Attribution in Question Answering》则聚焦于**答案生成后的归因（验证）阶段**，核心痛点是大型语言模型会产生幻觉，而人工标注归因数据成本高昂，因此需要可扩展的合成数据方法来训练高效的小型归因模型，以提升系统的可信度。
来自: [2025.acl-long.217_QAEncoder, 第9页, 2025.acl-long.217_QAEncoder_chunk_028]  
来自: [2025.acl-long.828_On Synthesizing Data for Context Attribution in Question Answering, 第1页, 2025.acl-long.828_On Synthesizing Data for Context Attribution in Question Answering_chunk_001]  
来自: [2025.acl-long.828_On Synthesizing Data for Context Attribution in Question Answering, 第2页, 2025.acl-long.828_On Synthesizing Data for Context Attribution in Question Answering_chunk_004]</t>
  </si>
  <si>
    <t>这10篇论文中哪一篇提出了名为"RAG-Guard"的安全防护框架？</t>
  </si>
  <si>
    <t>不可回答类</t>
  </si>
  <si>
    <t>无法回答。</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</si>
  <si>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</si>
  <si>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</si>
  <si>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</si>
  <si>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</si>
  <si>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</si>
  <si>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</si>
  <si>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</si>
  <si>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</si>
  <si>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</si>
  <si>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</si>
  <si>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</si>
  <si>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</si>
  <si>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</si>
  <si>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首先，我们定义了“银色噪声”，它指的是仅部分包含答案的证据文本。此类噪声能够绕过大多数安全过滤机制，从而削弱 RAG 的多样性。</t>
    <phoneticPr fontId="2" type="noConversion"/>
  </si>
  <si>
    <t>"silver noise"的定义?</t>
    <phoneticPr fontId="2" type="noConversion"/>
  </si>
  <si>
    <t>Silver noise 指的是包含部分但不完整答案的噪声上下文。
来自: [2025.acl-long.230_SafeRAG, 第4页, 2025.acl-long.230_SafeRAG_chunk_009]</t>
    <phoneticPr fontId="2" type="noConversion"/>
  </si>
  <si>
    <t>REAL-MM-RAG 基准测试旨在解决现实世界检索的四个关键属性是什么？</t>
    <phoneticPr fontId="2" type="noConversion"/>
  </si>
  <si>
    <t>REAL-MM-RAG 基准测试旨在解决的四个关键属性是：(i) 多模态文档，(ii) 增强难度，(iii) 现实 RAG 查询，(iv) 准确标注。
来自: [2025.acl-long.1528_REAL-MM-RAG, 第1页, 2025.acl-long.1528_REAL-MM-RAG_chunk_000]</t>
    <phoneticPr fontId="2" type="noConversion"/>
  </si>
  <si>
    <t>在实验中, RAGEval 提出的自动评估指标与人工评估的一致性如何？二者的差异是多少？</t>
    <phoneticPr fontId="2" type="noConversion"/>
  </si>
  <si>
    <t>SYNQA 和 RHIO 分别通过什么方式生成训练数据？这两种数据生成策略在提升模型归因能力上有什么不同？</t>
    <phoneticPr fontId="2" type="noConversion"/>
  </si>
  <si>
    <t>REAL-MM-RAG 与 LongDocURL 在构建评估体系时的侧重点有何不同？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</si>
</sst>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38" workbookViewId="0">
      <selection activeCell="D38" sqref="D38"/>
    </sheetView>
  </sheetViews>
  <sheetFormatPr defaultRowHeight="14" x14ac:dyDescent="0.25"/>
  <cols>
    <col min="1" max="1" width="29" style="2" customWidth="1"/>
    <col min="2" max="2" width="10" style="2" customWidth="1"/>
    <col min="3" max="4" width="29"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196" x14ac:dyDescent="0.25">
      <c r="A2" s="2" t="s">
        <v>15</v>
      </c>
      <c r="B2" s="2" t="s">
        <v>16</v>
      </c>
      <c r="C2" s="2" t="s">
        <v>17</v>
      </c>
      <c r="D2" s="2" t="s">
        <v>18</v>
      </c>
      <c r="E2" s="2">
        <v>1</v>
      </c>
      <c r="F2" s="2">
        <v>1</v>
      </c>
      <c r="G2" s="2">
        <v>1</v>
      </c>
      <c r="H2" s="2">
        <v>1</v>
      </c>
      <c r="I2" s="4">
        <v>1</v>
      </c>
      <c r="J2" s="2">
        <v>1</v>
      </c>
      <c r="K2" s="2" t="b">
        <v>0</v>
      </c>
      <c r="L2" s="2">
        <v>3</v>
      </c>
      <c r="M2" s="2">
        <v>0</v>
      </c>
      <c r="N2" s="2">
        <v>0</v>
      </c>
    </row>
    <row r="3" spans="1:15" ht="84" x14ac:dyDescent="0.25">
      <c r="A3" s="2" t="s">
        <v>152</v>
      </c>
      <c r="B3" s="2" t="s">
        <v>16</v>
      </c>
      <c r="C3" s="2" t="s">
        <v>151</v>
      </c>
      <c r="D3" s="2" t="s">
        <v>153</v>
      </c>
      <c r="E3" s="2">
        <v>0</v>
      </c>
      <c r="F3" s="2">
        <v>0</v>
      </c>
      <c r="G3" s="2">
        <v>1</v>
      </c>
      <c r="H3" s="2">
        <v>0.2</v>
      </c>
      <c r="I3" s="4">
        <v>1</v>
      </c>
      <c r="J3" s="2">
        <v>1</v>
      </c>
      <c r="K3" s="2" t="b">
        <v>0</v>
      </c>
      <c r="L3" s="2">
        <v>1</v>
      </c>
      <c r="M3" s="2">
        <v>0</v>
      </c>
      <c r="N3" s="2">
        <v>1</v>
      </c>
    </row>
    <row r="4" spans="1:15" ht="126" x14ac:dyDescent="0.25">
      <c r="A4" s="2" t="s">
        <v>19</v>
      </c>
      <c r="B4" s="2" t="s">
        <v>16</v>
      </c>
      <c r="C4" s="2" t="s">
        <v>20</v>
      </c>
      <c r="D4" s="2" t="s">
        <v>21</v>
      </c>
      <c r="E4" s="2">
        <v>1</v>
      </c>
      <c r="F4" s="2">
        <v>1</v>
      </c>
      <c r="G4" s="2">
        <v>1</v>
      </c>
      <c r="H4" s="2">
        <v>1</v>
      </c>
      <c r="I4" s="4">
        <v>1</v>
      </c>
      <c r="J4" s="2">
        <v>1</v>
      </c>
      <c r="K4" s="2" t="b">
        <v>0</v>
      </c>
      <c r="L4" s="2">
        <v>1</v>
      </c>
      <c r="M4" s="2">
        <v>0</v>
      </c>
      <c r="N4" s="2">
        <v>0</v>
      </c>
    </row>
    <row r="5" spans="1:15" ht="294" x14ac:dyDescent="0.25">
      <c r="A5" s="2" t="s">
        <v>22</v>
      </c>
      <c r="B5" s="2" t="s">
        <v>16</v>
      </c>
      <c r="C5" s="2" t="s">
        <v>23</v>
      </c>
      <c r="D5" s="2" t="s">
        <v>24</v>
      </c>
      <c r="E5" s="2">
        <v>1</v>
      </c>
      <c r="F5" s="2">
        <v>1</v>
      </c>
      <c r="G5" s="2">
        <v>1</v>
      </c>
      <c r="H5" s="2">
        <v>1</v>
      </c>
      <c r="I5" s="4">
        <v>1</v>
      </c>
      <c r="J5" s="2">
        <v>1</v>
      </c>
      <c r="K5" s="2" t="b">
        <v>0</v>
      </c>
      <c r="L5" s="2">
        <v>3</v>
      </c>
      <c r="M5" s="2">
        <v>0</v>
      </c>
      <c r="N5" s="2">
        <v>0</v>
      </c>
    </row>
    <row r="6" spans="1:15" ht="252" x14ac:dyDescent="0.25">
      <c r="A6" s="2" t="s">
        <v>25</v>
      </c>
      <c r="B6" s="2" t="s">
        <v>16</v>
      </c>
      <c r="C6" s="2" t="s">
        <v>26</v>
      </c>
      <c r="D6" s="2" t="s">
        <v>27</v>
      </c>
      <c r="E6" s="2">
        <v>1</v>
      </c>
      <c r="F6" s="2">
        <v>1</v>
      </c>
      <c r="G6" s="2">
        <v>1</v>
      </c>
      <c r="H6" s="2">
        <v>1</v>
      </c>
      <c r="I6" s="4">
        <v>1</v>
      </c>
      <c r="J6" s="2">
        <v>0.66700000000000004</v>
      </c>
      <c r="K6" s="2" t="b">
        <v>0</v>
      </c>
      <c r="L6" s="2">
        <v>2</v>
      </c>
      <c r="M6" s="2">
        <v>1</v>
      </c>
      <c r="N6" s="2">
        <v>1</v>
      </c>
    </row>
    <row r="7" spans="1:15" ht="409.5" x14ac:dyDescent="0.25">
      <c r="A7" s="2" t="s">
        <v>28</v>
      </c>
      <c r="B7" s="2" t="s">
        <v>16</v>
      </c>
      <c r="C7" s="2" t="s">
        <v>29</v>
      </c>
      <c r="D7" s="2" t="s">
        <v>30</v>
      </c>
      <c r="E7" s="2">
        <v>1</v>
      </c>
      <c r="F7" s="2">
        <v>1</v>
      </c>
      <c r="G7" s="2">
        <v>1</v>
      </c>
      <c r="H7" s="2">
        <v>1</v>
      </c>
      <c r="I7" s="4">
        <v>1</v>
      </c>
      <c r="J7" s="2">
        <v>0.8</v>
      </c>
      <c r="K7" s="2" t="b">
        <v>0</v>
      </c>
      <c r="L7" s="2">
        <v>2</v>
      </c>
      <c r="M7" s="2">
        <v>1</v>
      </c>
      <c r="N7" s="2">
        <v>0</v>
      </c>
    </row>
    <row r="8" spans="1:15" ht="252" x14ac:dyDescent="0.25">
      <c r="A8" s="2" t="s">
        <v>31</v>
      </c>
      <c r="B8" s="2" t="s">
        <v>16</v>
      </c>
      <c r="C8" s="2" t="s">
        <v>32</v>
      </c>
      <c r="D8" s="2" t="s">
        <v>33</v>
      </c>
      <c r="E8" s="2">
        <v>1</v>
      </c>
      <c r="F8" s="2">
        <v>1</v>
      </c>
      <c r="G8" s="2">
        <v>1</v>
      </c>
      <c r="H8" s="2">
        <v>1</v>
      </c>
      <c r="I8" s="4">
        <v>1</v>
      </c>
      <c r="J8" s="2">
        <v>0.5</v>
      </c>
      <c r="K8" s="2" t="b">
        <v>0</v>
      </c>
      <c r="L8" s="2">
        <v>1</v>
      </c>
      <c r="M8" s="2">
        <v>2</v>
      </c>
      <c r="N8" s="2">
        <v>0</v>
      </c>
    </row>
    <row r="9" spans="1:15" ht="126" x14ac:dyDescent="0.25">
      <c r="A9" s="2" t="s">
        <v>154</v>
      </c>
      <c r="B9" s="2" t="s">
        <v>16</v>
      </c>
      <c r="C9" s="2" t="s">
        <v>34</v>
      </c>
      <c r="D9" s="2" t="s">
        <v>155</v>
      </c>
      <c r="E9" s="2">
        <v>1</v>
      </c>
      <c r="F9" s="2">
        <v>1</v>
      </c>
      <c r="G9" s="2">
        <v>1</v>
      </c>
      <c r="H9" s="2">
        <v>1</v>
      </c>
      <c r="I9" s="4">
        <v>1</v>
      </c>
      <c r="J9" s="2">
        <v>1</v>
      </c>
      <c r="K9" s="2" t="b">
        <v>0</v>
      </c>
      <c r="L9" s="2">
        <v>1</v>
      </c>
      <c r="M9" s="2">
        <v>3</v>
      </c>
      <c r="N9" s="2">
        <v>3</v>
      </c>
    </row>
    <row r="10" spans="1:15" ht="378" x14ac:dyDescent="0.25">
      <c r="A10" s="2" t="s">
        <v>35</v>
      </c>
      <c r="B10" s="2" t="s">
        <v>16</v>
      </c>
      <c r="C10" s="2" t="s">
        <v>36</v>
      </c>
      <c r="D10" s="2" t="s">
        <v>37</v>
      </c>
      <c r="E10" s="2">
        <v>1</v>
      </c>
      <c r="F10" s="2">
        <v>1</v>
      </c>
      <c r="G10" s="2">
        <v>1</v>
      </c>
      <c r="H10" s="2">
        <v>1</v>
      </c>
      <c r="I10" s="4">
        <v>1</v>
      </c>
      <c r="J10" s="2">
        <v>1</v>
      </c>
      <c r="K10" s="2" t="b">
        <v>0</v>
      </c>
      <c r="L10" s="2">
        <v>4</v>
      </c>
      <c r="M10" s="2">
        <v>0</v>
      </c>
      <c r="N10" s="2">
        <v>0</v>
      </c>
    </row>
    <row r="11" spans="1:15" ht="266" x14ac:dyDescent="0.25">
      <c r="A11" s="2" t="s">
        <v>38</v>
      </c>
      <c r="B11" s="2" t="s">
        <v>16</v>
      </c>
      <c r="C11" s="2" t="s">
        <v>39</v>
      </c>
      <c r="D11" s="2" t="s">
        <v>40</v>
      </c>
      <c r="E11" s="2">
        <v>1</v>
      </c>
      <c r="F11" s="2">
        <v>1</v>
      </c>
      <c r="G11" s="2">
        <v>1</v>
      </c>
      <c r="H11" s="2">
        <v>1</v>
      </c>
      <c r="I11" s="4">
        <v>1</v>
      </c>
      <c r="J11" s="2">
        <v>1</v>
      </c>
      <c r="K11" s="2" t="b">
        <v>0</v>
      </c>
      <c r="L11" s="2">
        <v>4</v>
      </c>
      <c r="M11" s="2">
        <v>0</v>
      </c>
      <c r="N11" s="2">
        <v>0</v>
      </c>
    </row>
    <row r="12" spans="1:15" ht="112" x14ac:dyDescent="0.25">
      <c r="A12" s="2" t="s">
        <v>41</v>
      </c>
      <c r="B12" s="2" t="s">
        <v>16</v>
      </c>
      <c r="C12" s="2" t="s">
        <v>42</v>
      </c>
      <c r="D12" s="2" t="s">
        <v>43</v>
      </c>
      <c r="E12" s="2">
        <v>1</v>
      </c>
      <c r="F12" s="2">
        <v>1</v>
      </c>
      <c r="G12" s="2">
        <v>1</v>
      </c>
      <c r="H12" s="2">
        <v>1</v>
      </c>
      <c r="I12" s="4">
        <v>1</v>
      </c>
      <c r="J12" s="2">
        <v>0.66700000000000004</v>
      </c>
      <c r="K12" s="2" t="b">
        <v>0</v>
      </c>
      <c r="L12" s="2">
        <v>1</v>
      </c>
      <c r="M12" s="2">
        <v>0</v>
      </c>
      <c r="N12" s="2">
        <v>1</v>
      </c>
    </row>
    <row r="13" spans="1:15" ht="252" x14ac:dyDescent="0.25">
      <c r="A13" s="2" t="s">
        <v>44</v>
      </c>
      <c r="B13" s="2" t="s">
        <v>16</v>
      </c>
      <c r="C13" s="2" t="s">
        <v>45</v>
      </c>
      <c r="D13" s="2" t="s">
        <v>46</v>
      </c>
      <c r="E13" s="2">
        <v>0</v>
      </c>
      <c r="F13" s="2">
        <v>1</v>
      </c>
      <c r="G13" s="2">
        <v>1</v>
      </c>
      <c r="H13" s="2">
        <v>0.33333333333333331</v>
      </c>
      <c r="I13" s="4">
        <v>1</v>
      </c>
      <c r="J13" s="2">
        <v>1</v>
      </c>
      <c r="K13" s="2" t="b">
        <v>0</v>
      </c>
      <c r="L13" s="2">
        <v>3</v>
      </c>
      <c r="M13" s="2">
        <v>0</v>
      </c>
      <c r="N13" s="2">
        <v>0</v>
      </c>
    </row>
    <row r="14" spans="1:15" s="5" customFormat="1" ht="196" x14ac:dyDescent="0.25">
      <c r="A14" s="5" t="s">
        <v>47</v>
      </c>
      <c r="B14" s="5" t="s">
        <v>48</v>
      </c>
      <c r="C14" s="5" t="s">
        <v>49</v>
      </c>
      <c r="D14" s="5" t="s">
        <v>50</v>
      </c>
      <c r="E14" s="5">
        <v>0</v>
      </c>
      <c r="F14" s="5">
        <v>0</v>
      </c>
      <c r="G14" s="5">
        <v>1</v>
      </c>
      <c r="H14" s="5">
        <v>0.2</v>
      </c>
      <c r="I14" s="5">
        <v>0</v>
      </c>
      <c r="J14" s="5">
        <v>0.66700000000000004</v>
      </c>
      <c r="K14" s="5" t="b">
        <v>0</v>
      </c>
      <c r="L14" s="5">
        <v>1</v>
      </c>
      <c r="M14" s="5">
        <v>0</v>
      </c>
      <c r="N14" s="5">
        <v>1</v>
      </c>
    </row>
    <row r="15" spans="1:15" ht="140" x14ac:dyDescent="0.25">
      <c r="A15" s="2" t="s">
        <v>51</v>
      </c>
      <c r="B15" s="2" t="s">
        <v>48</v>
      </c>
      <c r="C15" s="2" t="s">
        <v>52</v>
      </c>
      <c r="D15" s="2" t="s">
        <v>53</v>
      </c>
      <c r="E15" s="2">
        <v>1</v>
      </c>
      <c r="F15" s="2">
        <v>1</v>
      </c>
      <c r="G15" s="2">
        <v>1</v>
      </c>
      <c r="H15" s="2">
        <v>1</v>
      </c>
      <c r="I15" s="4">
        <v>1</v>
      </c>
      <c r="J15" s="2">
        <v>0.66700000000000004</v>
      </c>
      <c r="K15" s="2" t="b">
        <v>0</v>
      </c>
      <c r="L15" s="2">
        <v>2</v>
      </c>
      <c r="M15" s="2">
        <v>1</v>
      </c>
      <c r="N15" s="2">
        <v>1</v>
      </c>
    </row>
    <row r="16" spans="1:15" ht="308" x14ac:dyDescent="0.25">
      <c r="A16" s="2" t="s">
        <v>54</v>
      </c>
      <c r="B16" s="2" t="s">
        <v>48</v>
      </c>
      <c r="C16" s="2" t="s">
        <v>55</v>
      </c>
      <c r="D16" s="2" t="s">
        <v>56</v>
      </c>
      <c r="E16" s="2">
        <v>0</v>
      </c>
      <c r="F16" s="2">
        <v>1</v>
      </c>
      <c r="G16" s="2">
        <v>1</v>
      </c>
      <c r="H16" s="2">
        <v>0.33333333333333331</v>
      </c>
      <c r="I16" s="4">
        <v>1</v>
      </c>
      <c r="J16" s="2">
        <v>1</v>
      </c>
      <c r="K16" s="2" t="b">
        <v>0</v>
      </c>
      <c r="L16" s="2">
        <v>4</v>
      </c>
      <c r="M16" s="2">
        <v>0</v>
      </c>
      <c r="N16" s="2">
        <v>0</v>
      </c>
    </row>
    <row r="17" spans="1:14" ht="266" x14ac:dyDescent="0.25">
      <c r="A17" s="2" t="s">
        <v>57</v>
      </c>
      <c r="B17" s="2" t="s">
        <v>48</v>
      </c>
      <c r="C17" s="2" t="s">
        <v>58</v>
      </c>
      <c r="D17" s="2" t="s">
        <v>59</v>
      </c>
      <c r="E17" s="2">
        <v>1</v>
      </c>
      <c r="F17" s="2">
        <v>1</v>
      </c>
      <c r="G17" s="2">
        <v>1</v>
      </c>
      <c r="H17" s="2">
        <v>1</v>
      </c>
      <c r="I17" s="4">
        <v>0.5</v>
      </c>
      <c r="J17" s="2">
        <v>0.8</v>
      </c>
      <c r="K17" s="2" t="b">
        <v>0</v>
      </c>
      <c r="L17" s="2">
        <v>2</v>
      </c>
      <c r="M17" s="2">
        <v>0</v>
      </c>
      <c r="N17" s="2">
        <v>1</v>
      </c>
    </row>
    <row r="18" spans="1:14" ht="350" x14ac:dyDescent="0.25">
      <c r="A18" s="2" t="s">
        <v>60</v>
      </c>
      <c r="B18" s="2" t="s">
        <v>48</v>
      </c>
      <c r="C18" s="2" t="s">
        <v>61</v>
      </c>
      <c r="D18" s="2" t="s">
        <v>62</v>
      </c>
      <c r="E18" s="2">
        <v>0</v>
      </c>
      <c r="F18" s="2">
        <v>1</v>
      </c>
      <c r="G18" s="2">
        <v>1</v>
      </c>
      <c r="H18" s="2">
        <v>0.5</v>
      </c>
      <c r="I18" s="4">
        <v>1</v>
      </c>
      <c r="J18" s="2">
        <v>0.88900000000000001</v>
      </c>
      <c r="K18" s="2" t="b">
        <v>0</v>
      </c>
      <c r="L18" s="2">
        <v>4</v>
      </c>
      <c r="M18" s="2">
        <v>1</v>
      </c>
      <c r="N18" s="2">
        <v>0</v>
      </c>
    </row>
    <row r="19" spans="1:14" ht="322" x14ac:dyDescent="0.25">
      <c r="A19" s="2" t="s">
        <v>63</v>
      </c>
      <c r="B19" s="2" t="s">
        <v>48</v>
      </c>
      <c r="C19" s="2" t="s">
        <v>64</v>
      </c>
      <c r="D19" s="2" t="s">
        <v>65</v>
      </c>
      <c r="E19" s="2">
        <v>1</v>
      </c>
      <c r="F19" s="2">
        <v>1</v>
      </c>
      <c r="G19" s="2">
        <v>1</v>
      </c>
      <c r="H19" s="2">
        <v>1</v>
      </c>
      <c r="I19" s="4">
        <v>1</v>
      </c>
      <c r="J19" s="2">
        <v>1</v>
      </c>
      <c r="K19" s="2" t="b">
        <v>0</v>
      </c>
      <c r="L19" s="2">
        <v>3</v>
      </c>
      <c r="M19" s="2">
        <v>0</v>
      </c>
      <c r="N19" s="2">
        <v>0</v>
      </c>
    </row>
    <row r="20" spans="1:14" ht="182" x14ac:dyDescent="0.25">
      <c r="A20" s="2" t="s">
        <v>66</v>
      </c>
      <c r="B20" s="2" t="s">
        <v>48</v>
      </c>
      <c r="C20" s="2" t="s">
        <v>67</v>
      </c>
      <c r="D20" s="2" t="s">
        <v>68</v>
      </c>
      <c r="E20" s="2">
        <v>1</v>
      </c>
      <c r="F20" s="2">
        <v>1</v>
      </c>
      <c r="G20" s="2">
        <v>1</v>
      </c>
      <c r="H20" s="2">
        <v>1</v>
      </c>
      <c r="I20" s="4">
        <v>1</v>
      </c>
      <c r="J20" s="2">
        <v>0.66700000000000004</v>
      </c>
      <c r="K20" s="2" t="b">
        <v>0</v>
      </c>
      <c r="L20" s="2">
        <v>1</v>
      </c>
      <c r="M20" s="2">
        <v>0</v>
      </c>
      <c r="N20" s="2">
        <v>1</v>
      </c>
    </row>
    <row r="21" spans="1:14" ht="294" x14ac:dyDescent="0.25">
      <c r="A21" s="2" t="s">
        <v>69</v>
      </c>
      <c r="B21" s="2" t="s">
        <v>48</v>
      </c>
      <c r="C21" s="2" t="s">
        <v>70</v>
      </c>
      <c r="D21" s="2" t="s">
        <v>71</v>
      </c>
      <c r="E21" s="2">
        <v>1</v>
      </c>
      <c r="F21" s="2">
        <v>1</v>
      </c>
      <c r="G21" s="2">
        <v>1</v>
      </c>
      <c r="H21" s="2">
        <v>1</v>
      </c>
      <c r="I21" s="4">
        <v>1</v>
      </c>
      <c r="J21" s="2">
        <v>0.8</v>
      </c>
      <c r="K21" s="2" t="b">
        <v>0</v>
      </c>
      <c r="L21" s="2">
        <v>2</v>
      </c>
      <c r="M21" s="2">
        <v>1</v>
      </c>
      <c r="N21" s="2">
        <v>0</v>
      </c>
    </row>
    <row r="22" spans="1:14" ht="409.5" x14ac:dyDescent="0.25">
      <c r="A22" s="2" t="s">
        <v>72</v>
      </c>
      <c r="B22" s="2" t="s">
        <v>48</v>
      </c>
      <c r="C22" s="2" t="s">
        <v>73</v>
      </c>
      <c r="D22" s="2" t="s">
        <v>74</v>
      </c>
      <c r="E22" s="2">
        <v>1</v>
      </c>
      <c r="F22" s="2">
        <v>1</v>
      </c>
      <c r="G22" s="2">
        <v>1</v>
      </c>
      <c r="H22" s="2">
        <v>1</v>
      </c>
      <c r="I22" s="4">
        <v>1</v>
      </c>
      <c r="J22" s="2">
        <v>1</v>
      </c>
      <c r="K22" s="2" t="b">
        <v>0</v>
      </c>
      <c r="L22" s="2">
        <v>3</v>
      </c>
      <c r="M22" s="2">
        <v>0</v>
      </c>
      <c r="N22" s="2">
        <v>0</v>
      </c>
    </row>
    <row r="23" spans="1:14" ht="406" x14ac:dyDescent="0.25">
      <c r="A23" s="2" t="s">
        <v>75</v>
      </c>
      <c r="B23" s="2" t="s">
        <v>48</v>
      </c>
      <c r="C23" s="2" t="s">
        <v>76</v>
      </c>
      <c r="D23" s="2" t="s">
        <v>77</v>
      </c>
      <c r="E23" s="2">
        <v>1</v>
      </c>
      <c r="F23" s="2">
        <v>1</v>
      </c>
      <c r="G23" s="2">
        <v>1</v>
      </c>
      <c r="H23" s="2">
        <v>1</v>
      </c>
      <c r="I23" s="4">
        <v>0.5</v>
      </c>
      <c r="J23" s="2">
        <v>0.8</v>
      </c>
      <c r="K23" s="2" t="b">
        <v>0</v>
      </c>
      <c r="L23" s="2">
        <v>2</v>
      </c>
      <c r="M23" s="2">
        <v>1</v>
      </c>
      <c r="N23" s="2">
        <v>0</v>
      </c>
    </row>
    <row r="24" spans="1:14" ht="168" x14ac:dyDescent="0.25">
      <c r="A24" s="2" t="s">
        <v>78</v>
      </c>
      <c r="B24" s="2" t="s">
        <v>48</v>
      </c>
      <c r="C24" s="2" t="s">
        <v>79</v>
      </c>
      <c r="D24" s="2" t="s">
        <v>80</v>
      </c>
      <c r="E24" s="2">
        <v>0</v>
      </c>
      <c r="F24" s="2">
        <v>0</v>
      </c>
      <c r="G24" s="2">
        <v>0</v>
      </c>
      <c r="H24" s="2">
        <v>0</v>
      </c>
      <c r="I24" s="4">
        <v>1</v>
      </c>
      <c r="J24" s="2">
        <v>0.66700000000000004</v>
      </c>
      <c r="K24" s="2" t="b">
        <v>0</v>
      </c>
      <c r="L24" s="2">
        <v>1</v>
      </c>
      <c r="M24" s="2">
        <v>1</v>
      </c>
      <c r="N24" s="2">
        <v>0</v>
      </c>
    </row>
    <row r="25" spans="1:14" ht="140" x14ac:dyDescent="0.25">
      <c r="A25" s="2" t="s">
        <v>81</v>
      </c>
      <c r="B25" s="2" t="s">
        <v>82</v>
      </c>
      <c r="C25" s="2" t="s">
        <v>83</v>
      </c>
      <c r="D25" s="2" t="s">
        <v>84</v>
      </c>
      <c r="E25" s="2">
        <v>1</v>
      </c>
      <c r="F25" s="2">
        <v>1</v>
      </c>
      <c r="G25" s="2">
        <v>1</v>
      </c>
      <c r="H25" s="2">
        <v>1</v>
      </c>
      <c r="I25" s="4">
        <v>1</v>
      </c>
      <c r="J25" s="2">
        <v>1</v>
      </c>
      <c r="K25" s="2" t="b">
        <v>0</v>
      </c>
      <c r="L25" s="2">
        <v>1</v>
      </c>
      <c r="M25" s="2">
        <v>0</v>
      </c>
      <c r="N25" s="2">
        <v>1</v>
      </c>
    </row>
    <row r="26" spans="1:14" ht="140" x14ac:dyDescent="0.25">
      <c r="A26" s="2" t="s">
        <v>85</v>
      </c>
      <c r="B26" s="2" t="s">
        <v>82</v>
      </c>
      <c r="C26" s="2" t="s">
        <v>86</v>
      </c>
      <c r="D26" s="2" t="s">
        <v>87</v>
      </c>
      <c r="E26" s="2">
        <v>1</v>
      </c>
      <c r="F26" s="2">
        <v>1</v>
      </c>
      <c r="G26" s="2">
        <v>1</v>
      </c>
      <c r="H26" s="2">
        <v>1</v>
      </c>
      <c r="I26" s="4">
        <v>1</v>
      </c>
      <c r="J26" s="2">
        <v>1</v>
      </c>
      <c r="K26" s="2" t="b">
        <v>0</v>
      </c>
      <c r="L26" s="2">
        <v>1</v>
      </c>
      <c r="M26" s="2">
        <v>0</v>
      </c>
      <c r="N26" s="2">
        <v>0</v>
      </c>
    </row>
    <row r="27" spans="1:14" ht="224" x14ac:dyDescent="0.25">
      <c r="A27" s="2" t="s">
        <v>88</v>
      </c>
      <c r="B27" s="2" t="s">
        <v>82</v>
      </c>
      <c r="C27" s="2" t="s">
        <v>89</v>
      </c>
      <c r="D27" s="2" t="s">
        <v>90</v>
      </c>
      <c r="E27" s="2">
        <v>1</v>
      </c>
      <c r="F27" s="2">
        <v>1</v>
      </c>
      <c r="G27" s="2">
        <v>1</v>
      </c>
      <c r="H27" s="2">
        <v>1</v>
      </c>
      <c r="I27" s="4">
        <v>1</v>
      </c>
      <c r="J27" s="2">
        <v>0.66700000000000004</v>
      </c>
      <c r="K27" s="2" t="b">
        <v>0</v>
      </c>
      <c r="L27" s="2">
        <v>1</v>
      </c>
      <c r="M27" s="2">
        <v>0</v>
      </c>
      <c r="N27" s="2">
        <v>1</v>
      </c>
    </row>
    <row r="28" spans="1:14" ht="112" x14ac:dyDescent="0.25">
      <c r="A28" s="2" t="s">
        <v>91</v>
      </c>
      <c r="B28" s="2" t="s">
        <v>82</v>
      </c>
      <c r="C28" s="2" t="s">
        <v>92</v>
      </c>
      <c r="D28" s="2" t="s">
        <v>93</v>
      </c>
      <c r="E28" s="2">
        <v>0</v>
      </c>
      <c r="F28" s="2">
        <v>1</v>
      </c>
      <c r="G28" s="2">
        <v>1</v>
      </c>
      <c r="H28" s="2">
        <v>0.5</v>
      </c>
      <c r="I28" s="4">
        <v>1</v>
      </c>
      <c r="J28" s="2">
        <v>0.66700000000000004</v>
      </c>
      <c r="K28" s="2" t="b">
        <v>0</v>
      </c>
      <c r="L28" s="2">
        <v>1</v>
      </c>
      <c r="M28" s="2">
        <v>0</v>
      </c>
      <c r="N28" s="2">
        <v>1</v>
      </c>
    </row>
    <row r="29" spans="1:14" ht="126" x14ac:dyDescent="0.25">
      <c r="A29" s="2" t="s">
        <v>94</v>
      </c>
      <c r="B29" s="2" t="s">
        <v>82</v>
      </c>
      <c r="C29" s="2" t="s">
        <v>95</v>
      </c>
      <c r="D29" s="2" t="s">
        <v>96</v>
      </c>
      <c r="E29" s="2">
        <v>0</v>
      </c>
      <c r="F29" s="2">
        <v>1</v>
      </c>
      <c r="G29" s="2">
        <v>1</v>
      </c>
      <c r="H29" s="2">
        <v>0.5</v>
      </c>
      <c r="I29" s="4">
        <v>1</v>
      </c>
      <c r="J29" s="2">
        <v>1</v>
      </c>
      <c r="K29" s="2" t="b">
        <v>0</v>
      </c>
      <c r="L29" s="2">
        <v>1</v>
      </c>
      <c r="M29" s="2">
        <v>0</v>
      </c>
      <c r="N29" s="2">
        <v>0</v>
      </c>
    </row>
    <row r="30" spans="1:14" ht="140" x14ac:dyDescent="0.25">
      <c r="A30" s="2" t="s">
        <v>97</v>
      </c>
      <c r="B30" s="2" t="s">
        <v>82</v>
      </c>
      <c r="C30" s="2" t="s">
        <v>98</v>
      </c>
      <c r="D30" s="2" t="s">
        <v>99</v>
      </c>
      <c r="E30" s="2">
        <v>1</v>
      </c>
      <c r="F30" s="2">
        <v>1</v>
      </c>
      <c r="G30" s="2">
        <v>1</v>
      </c>
      <c r="H30" s="2">
        <v>1</v>
      </c>
      <c r="I30" s="4">
        <v>1</v>
      </c>
      <c r="J30" s="2">
        <v>1</v>
      </c>
      <c r="K30" s="2" t="b">
        <v>0</v>
      </c>
      <c r="L30" s="2">
        <v>3</v>
      </c>
      <c r="M30" s="2">
        <v>0</v>
      </c>
      <c r="N30" s="2">
        <v>0</v>
      </c>
    </row>
    <row r="31" spans="1:14" ht="182" x14ac:dyDescent="0.25">
      <c r="A31" s="2" t="s">
        <v>100</v>
      </c>
      <c r="B31" s="2" t="s">
        <v>82</v>
      </c>
      <c r="C31" s="2" t="s">
        <v>101</v>
      </c>
      <c r="D31" s="2" t="s">
        <v>102</v>
      </c>
      <c r="E31" s="2">
        <v>1</v>
      </c>
      <c r="F31" s="2">
        <v>1</v>
      </c>
      <c r="G31" s="2">
        <v>1</v>
      </c>
      <c r="H31" s="2">
        <v>1</v>
      </c>
      <c r="I31" s="4">
        <v>1</v>
      </c>
      <c r="J31" s="2">
        <v>0.66700000000000004</v>
      </c>
      <c r="K31" s="2" t="b">
        <v>0</v>
      </c>
      <c r="L31" s="2">
        <v>2</v>
      </c>
      <c r="M31" s="2">
        <v>2</v>
      </c>
      <c r="N31" s="2">
        <v>0</v>
      </c>
    </row>
    <row r="32" spans="1:14" ht="224" x14ac:dyDescent="0.25">
      <c r="A32" s="2" t="s">
        <v>103</v>
      </c>
      <c r="B32" s="2" t="s">
        <v>82</v>
      </c>
      <c r="C32" s="2" t="s">
        <v>104</v>
      </c>
      <c r="D32" s="2" t="s">
        <v>105</v>
      </c>
      <c r="E32" s="2">
        <v>1</v>
      </c>
      <c r="F32" s="2">
        <v>1</v>
      </c>
      <c r="G32" s="2">
        <v>1</v>
      </c>
      <c r="H32" s="2">
        <v>1</v>
      </c>
      <c r="I32" s="4">
        <v>1</v>
      </c>
      <c r="J32" s="2">
        <v>1</v>
      </c>
      <c r="K32" s="2" t="b">
        <v>0</v>
      </c>
      <c r="L32" s="2">
        <v>3</v>
      </c>
      <c r="M32" s="2">
        <v>0</v>
      </c>
      <c r="N32" s="2">
        <v>0</v>
      </c>
    </row>
    <row r="33" spans="1:15" ht="406" x14ac:dyDescent="0.25">
      <c r="A33" s="2" t="s">
        <v>106</v>
      </c>
      <c r="B33" s="2" t="s">
        <v>82</v>
      </c>
      <c r="C33" s="2" t="s">
        <v>107</v>
      </c>
      <c r="D33" s="2" t="s">
        <v>108</v>
      </c>
      <c r="E33" s="2">
        <v>1</v>
      </c>
      <c r="F33" s="2">
        <v>1</v>
      </c>
      <c r="G33" s="2">
        <v>1</v>
      </c>
      <c r="H33" s="2">
        <v>1</v>
      </c>
      <c r="I33" s="4">
        <v>1</v>
      </c>
      <c r="J33" s="2">
        <v>0.88900000000000001</v>
      </c>
      <c r="K33" s="2" t="b">
        <v>0</v>
      </c>
      <c r="L33" s="2">
        <v>4</v>
      </c>
      <c r="M33" s="2">
        <v>1</v>
      </c>
      <c r="N33" s="2">
        <v>0</v>
      </c>
    </row>
    <row r="34" spans="1:15" ht="252" x14ac:dyDescent="0.25">
      <c r="A34" s="2" t="s">
        <v>109</v>
      </c>
      <c r="B34" s="2" t="s">
        <v>82</v>
      </c>
      <c r="C34" s="2" t="s">
        <v>110</v>
      </c>
      <c r="D34" s="2" t="s">
        <v>111</v>
      </c>
      <c r="E34" s="2">
        <v>1</v>
      </c>
      <c r="F34" s="2">
        <v>1</v>
      </c>
      <c r="G34" s="2">
        <v>1</v>
      </c>
      <c r="H34" s="2">
        <v>1</v>
      </c>
      <c r="I34" s="4">
        <v>1</v>
      </c>
      <c r="J34" s="2">
        <v>1</v>
      </c>
      <c r="K34" s="2" t="b">
        <v>0</v>
      </c>
      <c r="L34" s="2">
        <v>4</v>
      </c>
      <c r="M34" s="2">
        <v>0</v>
      </c>
      <c r="N34" s="2">
        <v>0</v>
      </c>
    </row>
    <row r="35" spans="1:15" s="5" customFormat="1" ht="56" x14ac:dyDescent="0.25">
      <c r="A35" s="5" t="s">
        <v>156</v>
      </c>
      <c r="B35" s="5" t="s">
        <v>82</v>
      </c>
      <c r="C35" s="5" t="s">
        <v>112</v>
      </c>
      <c r="D35" s="5" t="s">
        <v>113</v>
      </c>
      <c r="E35" s="5">
        <v>0</v>
      </c>
      <c r="F35" s="5">
        <v>0</v>
      </c>
      <c r="G35" s="5">
        <v>0</v>
      </c>
      <c r="H35" s="5">
        <v>0</v>
      </c>
      <c r="I35" s="5">
        <v>0</v>
      </c>
      <c r="J35" s="5">
        <v>0</v>
      </c>
      <c r="K35" s="5" t="b">
        <v>0</v>
      </c>
      <c r="L35" s="5">
        <v>0</v>
      </c>
      <c r="M35" s="5">
        <v>0</v>
      </c>
      <c r="N35" s="5">
        <v>1</v>
      </c>
    </row>
    <row r="36" spans="1:15" ht="378" x14ac:dyDescent="0.25">
      <c r="A36" s="2" t="s">
        <v>114</v>
      </c>
      <c r="B36" s="2" t="s">
        <v>115</v>
      </c>
      <c r="C36" s="2" t="s">
        <v>116</v>
      </c>
      <c r="D36" s="2" t="s">
        <v>117</v>
      </c>
      <c r="E36" s="2">
        <v>1</v>
      </c>
      <c r="F36" s="2">
        <v>1</v>
      </c>
      <c r="G36" s="2">
        <v>1</v>
      </c>
      <c r="H36" s="2">
        <v>1</v>
      </c>
      <c r="I36" s="4">
        <v>0.5</v>
      </c>
      <c r="J36" s="2">
        <v>0.8</v>
      </c>
      <c r="K36" s="2" t="b">
        <v>0</v>
      </c>
      <c r="L36" s="2">
        <v>2</v>
      </c>
      <c r="M36" s="2">
        <v>1</v>
      </c>
      <c r="N36" s="2">
        <v>0</v>
      </c>
    </row>
    <row r="37" spans="1:15" ht="364" x14ac:dyDescent="0.25">
      <c r="A37" s="2" t="s">
        <v>118</v>
      </c>
      <c r="B37" s="2" t="s">
        <v>115</v>
      </c>
      <c r="C37" s="2" t="s">
        <v>119</v>
      </c>
      <c r="D37" s="2" t="s">
        <v>120</v>
      </c>
      <c r="E37" s="2">
        <v>1</v>
      </c>
      <c r="F37" s="2">
        <v>1</v>
      </c>
      <c r="G37" s="2">
        <v>1</v>
      </c>
      <c r="H37" s="2">
        <v>1</v>
      </c>
      <c r="I37" s="4">
        <v>1</v>
      </c>
      <c r="J37" s="2">
        <v>0.66700000000000004</v>
      </c>
      <c r="K37" s="2" t="b">
        <v>0</v>
      </c>
      <c r="L37" s="2">
        <v>2</v>
      </c>
      <c r="M37" s="2">
        <v>0</v>
      </c>
      <c r="N37" s="2">
        <v>2</v>
      </c>
    </row>
    <row r="38" spans="1:15" ht="409.5" x14ac:dyDescent="0.25">
      <c r="A38" s="2" t="s">
        <v>121</v>
      </c>
      <c r="B38" s="2" t="s">
        <v>115</v>
      </c>
      <c r="C38" s="2" t="s">
        <v>122</v>
      </c>
      <c r="D38" s="2" t="s">
        <v>123</v>
      </c>
      <c r="E38" s="2">
        <v>0</v>
      </c>
      <c r="F38" s="2">
        <v>0</v>
      </c>
      <c r="G38" s="2">
        <v>0</v>
      </c>
      <c r="H38" s="2">
        <v>0</v>
      </c>
      <c r="I38" s="4">
        <v>0.25</v>
      </c>
      <c r="J38" s="2">
        <v>0.88900000000000001</v>
      </c>
      <c r="K38" s="2" t="b">
        <v>0</v>
      </c>
      <c r="L38" s="2">
        <v>4</v>
      </c>
      <c r="M38" s="2">
        <v>0</v>
      </c>
      <c r="N38" s="2">
        <v>1</v>
      </c>
    </row>
    <row r="39" spans="1:15" s="5" customFormat="1" ht="112" x14ac:dyDescent="0.25">
      <c r="A39" s="5" t="s">
        <v>157</v>
      </c>
      <c r="B39" s="5" t="s">
        <v>115</v>
      </c>
      <c r="C39" s="5" t="s">
        <v>124</v>
      </c>
      <c r="D39" s="5" t="s">
        <v>113</v>
      </c>
      <c r="E39" s="5">
        <v>1</v>
      </c>
      <c r="F39" s="5">
        <v>1</v>
      </c>
      <c r="G39" s="5">
        <v>1</v>
      </c>
      <c r="H39" s="5">
        <v>1</v>
      </c>
      <c r="I39" s="5">
        <v>0</v>
      </c>
      <c r="J39" s="5">
        <v>0</v>
      </c>
      <c r="K39" s="5" t="b">
        <v>0</v>
      </c>
      <c r="L39" s="5">
        <v>0</v>
      </c>
      <c r="M39" s="5">
        <v>0</v>
      </c>
      <c r="N39" s="5">
        <v>2</v>
      </c>
    </row>
    <row r="40" spans="1:15" ht="409.5" x14ac:dyDescent="0.25">
      <c r="A40" s="2" t="s">
        <v>125</v>
      </c>
      <c r="B40" s="2" t="s">
        <v>115</v>
      </c>
      <c r="C40" s="2" t="s">
        <v>126</v>
      </c>
      <c r="D40" s="2" t="s">
        <v>127</v>
      </c>
      <c r="E40" s="2">
        <v>1</v>
      </c>
      <c r="F40" s="2">
        <v>1</v>
      </c>
      <c r="G40" s="2">
        <v>1</v>
      </c>
      <c r="H40" s="2">
        <v>1</v>
      </c>
      <c r="I40" s="4">
        <v>1</v>
      </c>
      <c r="J40" s="2">
        <v>0.88900000000000001</v>
      </c>
      <c r="K40" s="2" t="b">
        <v>0</v>
      </c>
      <c r="L40" s="2">
        <v>4</v>
      </c>
      <c r="M40" s="2">
        <v>1</v>
      </c>
      <c r="N40" s="2">
        <v>0</v>
      </c>
    </row>
    <row r="41" spans="1:15" ht="409.5" x14ac:dyDescent="0.25">
      <c r="A41" s="2" t="s">
        <v>128</v>
      </c>
      <c r="B41" s="2" t="s">
        <v>115</v>
      </c>
      <c r="C41" s="2" t="s">
        <v>129</v>
      </c>
      <c r="D41" s="2" t="s">
        <v>130</v>
      </c>
      <c r="E41" s="2">
        <v>1</v>
      </c>
      <c r="F41" s="2">
        <v>1</v>
      </c>
      <c r="G41" s="2">
        <v>1</v>
      </c>
      <c r="H41" s="2">
        <v>1</v>
      </c>
      <c r="I41" s="4">
        <v>1</v>
      </c>
      <c r="J41" s="2">
        <v>0.66700000000000004</v>
      </c>
      <c r="K41" s="2" t="b">
        <v>0</v>
      </c>
      <c r="L41" s="2">
        <v>2</v>
      </c>
      <c r="M41" s="2">
        <v>0</v>
      </c>
      <c r="N41" s="2">
        <v>2</v>
      </c>
    </row>
    <row r="42" spans="1:15" s="5" customFormat="1" ht="140" x14ac:dyDescent="0.25">
      <c r="A42" s="5" t="s">
        <v>158</v>
      </c>
      <c r="B42" s="5" t="s">
        <v>115</v>
      </c>
      <c r="C42" s="5" t="s">
        <v>131</v>
      </c>
      <c r="D42" s="5" t="s">
        <v>113</v>
      </c>
      <c r="E42" s="5">
        <v>1</v>
      </c>
      <c r="F42" s="5">
        <v>1</v>
      </c>
      <c r="G42" s="5">
        <v>1</v>
      </c>
      <c r="H42" s="5">
        <v>1</v>
      </c>
      <c r="I42" s="5">
        <v>0</v>
      </c>
      <c r="J42" s="5">
        <v>0</v>
      </c>
      <c r="K42" s="5" t="b">
        <v>0</v>
      </c>
      <c r="L42" s="5">
        <v>0</v>
      </c>
      <c r="M42" s="5">
        <v>0</v>
      </c>
      <c r="N42" s="5">
        <v>2</v>
      </c>
    </row>
    <row r="43" spans="1:15" ht="409.5" x14ac:dyDescent="0.25">
      <c r="A43" s="2" t="s">
        <v>132</v>
      </c>
      <c r="B43" s="2" t="s">
        <v>115</v>
      </c>
      <c r="C43" s="2" t="s">
        <v>133</v>
      </c>
      <c r="D43" s="2" t="s">
        <v>134</v>
      </c>
      <c r="E43" s="2">
        <v>0</v>
      </c>
      <c r="F43" s="2">
        <v>0</v>
      </c>
      <c r="G43" s="2">
        <v>0</v>
      </c>
      <c r="H43" s="2">
        <v>0</v>
      </c>
      <c r="I43" s="4">
        <v>0</v>
      </c>
      <c r="J43" s="2">
        <v>1</v>
      </c>
      <c r="K43" s="2" t="b">
        <v>0</v>
      </c>
      <c r="L43" s="2">
        <v>2</v>
      </c>
      <c r="M43" s="2">
        <v>0</v>
      </c>
      <c r="N43" s="2">
        <v>0</v>
      </c>
    </row>
    <row r="44" spans="1:15" ht="28" x14ac:dyDescent="0.25">
      <c r="A44" s="2" t="s">
        <v>135</v>
      </c>
      <c r="B44" s="2" t="s">
        <v>136</v>
      </c>
      <c r="C44" s="2" t="s">
        <v>137</v>
      </c>
      <c r="D44" s="2" t="s">
        <v>113</v>
      </c>
      <c r="J44" s="2">
        <v>1</v>
      </c>
      <c r="K44" s="2" t="b">
        <v>1</v>
      </c>
      <c r="L44" s="2">
        <v>1</v>
      </c>
      <c r="M44" s="2">
        <v>0</v>
      </c>
      <c r="N44" s="2">
        <v>0</v>
      </c>
      <c r="O44" s="2" t="b">
        <v>1</v>
      </c>
    </row>
    <row r="45" spans="1:15" ht="42" x14ac:dyDescent="0.25">
      <c r="A45" s="2" t="s">
        <v>138</v>
      </c>
      <c r="B45" s="2" t="s">
        <v>136</v>
      </c>
      <c r="C45" s="2" t="s">
        <v>137</v>
      </c>
      <c r="D45" s="2" t="s">
        <v>113</v>
      </c>
      <c r="J45" s="2">
        <v>1</v>
      </c>
      <c r="K45" s="2" t="b">
        <v>1</v>
      </c>
      <c r="L45" s="2">
        <v>1</v>
      </c>
      <c r="M45" s="2">
        <v>0</v>
      </c>
      <c r="N45" s="2">
        <v>0</v>
      </c>
      <c r="O45" s="2" t="b">
        <v>1</v>
      </c>
    </row>
    <row r="46" spans="1:15" ht="28" x14ac:dyDescent="0.25">
      <c r="A46" s="2" t="s">
        <v>139</v>
      </c>
      <c r="B46" s="2" t="s">
        <v>136</v>
      </c>
      <c r="C46" s="2" t="s">
        <v>137</v>
      </c>
      <c r="D46" s="2" t="s">
        <v>113</v>
      </c>
      <c r="J46" s="2">
        <v>1</v>
      </c>
      <c r="K46" s="2" t="b">
        <v>1</v>
      </c>
      <c r="L46" s="2">
        <v>1</v>
      </c>
      <c r="M46" s="2">
        <v>0</v>
      </c>
      <c r="N46" s="2">
        <v>0</v>
      </c>
      <c r="O46" s="2" t="b">
        <v>1</v>
      </c>
    </row>
    <row r="47" spans="1:15" ht="56" x14ac:dyDescent="0.25">
      <c r="A47" s="2" t="s">
        <v>140</v>
      </c>
      <c r="B47" s="2" t="s">
        <v>136</v>
      </c>
      <c r="C47" s="2" t="s">
        <v>137</v>
      </c>
      <c r="D47" s="2" t="s">
        <v>113</v>
      </c>
      <c r="J47" s="2">
        <v>1</v>
      </c>
      <c r="K47" s="2" t="b">
        <v>1</v>
      </c>
      <c r="L47" s="2">
        <v>1</v>
      </c>
      <c r="M47" s="2">
        <v>0</v>
      </c>
      <c r="N47" s="2">
        <v>0</v>
      </c>
      <c r="O47" s="2" t="b">
        <v>1</v>
      </c>
    </row>
    <row r="48" spans="1:15" ht="28" x14ac:dyDescent="0.25">
      <c r="A48" s="2" t="s">
        <v>141</v>
      </c>
      <c r="B48" s="2" t="s">
        <v>136</v>
      </c>
      <c r="C48" s="2" t="s">
        <v>137</v>
      </c>
      <c r="D48" s="2" t="s">
        <v>113</v>
      </c>
      <c r="J48" s="2">
        <v>1</v>
      </c>
      <c r="K48" s="2" t="b">
        <v>1</v>
      </c>
      <c r="L48" s="2">
        <v>1</v>
      </c>
      <c r="M48" s="2">
        <v>0</v>
      </c>
      <c r="N48" s="2">
        <v>0</v>
      </c>
      <c r="O48" s="2" t="b">
        <v>1</v>
      </c>
    </row>
    <row r="49" spans="1:15" ht="28" x14ac:dyDescent="0.25">
      <c r="A49" s="2" t="s">
        <v>142</v>
      </c>
      <c r="B49" s="2" t="s">
        <v>136</v>
      </c>
      <c r="C49" s="2" t="s">
        <v>137</v>
      </c>
      <c r="D49" s="2" t="s">
        <v>113</v>
      </c>
      <c r="J49" s="2">
        <v>1</v>
      </c>
      <c r="K49" s="2" t="b">
        <v>1</v>
      </c>
      <c r="L49" s="2">
        <v>1</v>
      </c>
      <c r="M49" s="2">
        <v>0</v>
      </c>
      <c r="N49" s="2">
        <v>0</v>
      </c>
      <c r="O49" s="2" t="b">
        <v>1</v>
      </c>
    </row>
    <row r="50" spans="1:15" ht="42" x14ac:dyDescent="0.25">
      <c r="A50" s="2" t="s">
        <v>143</v>
      </c>
      <c r="B50" s="2" t="s">
        <v>136</v>
      </c>
      <c r="C50" s="2" t="s">
        <v>137</v>
      </c>
      <c r="D50" s="2" t="s">
        <v>113</v>
      </c>
      <c r="J50" s="2">
        <v>1</v>
      </c>
      <c r="K50" s="2" t="b">
        <v>1</v>
      </c>
      <c r="L50" s="2">
        <v>1</v>
      </c>
      <c r="M50" s="2">
        <v>0</v>
      </c>
      <c r="N50" s="2">
        <v>0</v>
      </c>
      <c r="O50" s="2" t="b">
        <v>1</v>
      </c>
    </row>
    <row r="51" spans="1:15" ht="42" x14ac:dyDescent="0.25">
      <c r="A51" s="2" t="s">
        <v>144</v>
      </c>
      <c r="B51" s="2" t="s">
        <v>136</v>
      </c>
      <c r="C51" s="2" t="s">
        <v>137</v>
      </c>
      <c r="D51" s="2" t="s">
        <v>113</v>
      </c>
      <c r="J51" s="2">
        <v>1</v>
      </c>
      <c r="K51" s="2" t="b">
        <v>1</v>
      </c>
      <c r="L51" s="2">
        <v>1</v>
      </c>
      <c r="M51" s="2">
        <v>0</v>
      </c>
      <c r="N51" s="2">
        <v>0</v>
      </c>
      <c r="O51" s="2" t="b">
        <v>1</v>
      </c>
    </row>
    <row r="53" spans="1:15" x14ac:dyDescent="0.25">
      <c r="A53" s="2" t="s">
        <v>145</v>
      </c>
      <c r="E53" s="2">
        <f>AVERAGEIFS(E2:E51,K2:K51,FALSE)</f>
        <v>0.73809523809523814</v>
      </c>
      <c r="F53" s="2">
        <f>AVERAGEIFS(F2:F51,K2:K51,FALSE)</f>
        <v>0.8571428571428571</v>
      </c>
      <c r="G53" s="2">
        <f>AVERAGEIFS(G2:G51,K2:K51,FALSE)</f>
        <v>0.90476190476190477</v>
      </c>
      <c r="H53" s="2">
        <f>AVERAGEIFS(H2:H51,K2:K51,FALSE)</f>
        <v>0.79920634920634914</v>
      </c>
      <c r="I53" s="4">
        <f>AVERAGEIFS(I2:I51,K2:K51,FALSE)</f>
        <v>0.82738095238095233</v>
      </c>
      <c r="J53" s="2">
        <f>AVERAGE(J2:J51)</f>
        <v>0.82786000000000015</v>
      </c>
      <c r="L53" s="2">
        <f>AVERAGE(L2:L51)</f>
        <v>1.92</v>
      </c>
      <c r="M53" s="2">
        <f>AVERAGE(M2:M51)</f>
        <v>0.34</v>
      </c>
      <c r="N53" s="2">
        <f>AVERAGE(N2:N51)</f>
        <v>0.46</v>
      </c>
    </row>
    <row r="54" spans="1:15" x14ac:dyDescent="0.25">
      <c r="A54" s="2" t="s">
        <v>146</v>
      </c>
      <c r="B54" s="2" t="s">
        <v>16</v>
      </c>
      <c r="E54" s="2">
        <f>AVERAGEIFS(E2:E51,B2:B51,"定义类",K2:K51,FALSE)</f>
        <v>0.83333333333333337</v>
      </c>
      <c r="F54" s="2">
        <f>AVERAGEIFS(F2:F51,B2:B51,"定义类",K2:K51,FALSE)</f>
        <v>0.91666666666666663</v>
      </c>
      <c r="G54" s="2">
        <f>AVERAGEIFS(G2:G51,B2:B51,"定义类",K2:K51,FALSE)</f>
        <v>1</v>
      </c>
      <c r="H54" s="2">
        <f>AVERAGEIFS(H2:H51,B2:B51,"定义类",K2:K51,FALSE)</f>
        <v>0.87777777777777777</v>
      </c>
      <c r="I54" s="4">
        <f>AVERAGEIFS(I2:I51,B2:B51,"定义类",K2:K51,FALSE)</f>
        <v>1</v>
      </c>
      <c r="J54" s="2">
        <f>AVERAGEIF(B2:B51,"定义类",J2:J51)</f>
        <v>0.88616666666666655</v>
      </c>
      <c r="L54" s="2">
        <f>AVERAGEIF(B2:B51,"定义类",L2:L51)</f>
        <v>2.1666666666666665</v>
      </c>
      <c r="M54" s="2">
        <f>AVERAGEIF(B2:B51,"定义类",M2:M51)</f>
        <v>0.58333333333333337</v>
      </c>
      <c r="N54" s="2">
        <f>AVERAGEIF(B2:B51,"定义类",N2:N51)</f>
        <v>0.5</v>
      </c>
    </row>
    <row r="55" spans="1:15" ht="28" x14ac:dyDescent="0.25">
      <c r="A55" s="2" t="s">
        <v>147</v>
      </c>
      <c r="B55" s="2" t="s">
        <v>48</v>
      </c>
      <c r="E55" s="2">
        <f>AVERAGEIFS(E2:E51,B2:B51,"方法细节类",K2:K51,FALSE)</f>
        <v>0.63636363636363635</v>
      </c>
      <c r="F55" s="2">
        <f>AVERAGEIFS(F2:F51,B2:B51,"方法细节类",K2:K51,FALSE)</f>
        <v>0.81818181818181823</v>
      </c>
      <c r="G55" s="2">
        <f>AVERAGEIFS(G2:G51,B2:B51,"方法细节类",K2:K51,FALSE)</f>
        <v>0.90909090909090906</v>
      </c>
      <c r="H55" s="2">
        <f>AVERAGEIFS(H2:H51,B2:B51,"方法细节类",K2:K51,FALSE)</f>
        <v>0.73030303030303034</v>
      </c>
      <c r="I55" s="4">
        <f>AVERAGEIFS(I2:I51,B2:B51,"方法细节类",K2:K51,FALSE)</f>
        <v>0.81818181818181823</v>
      </c>
      <c r="J55" s="2">
        <f>AVERAGEIF(B2:B51,"方法细节类",J2:J51)</f>
        <v>0.81427272727272737</v>
      </c>
      <c r="L55" s="2">
        <f>AVERAGEIF(B2:B51,"方法细节类",L2:L51)</f>
        <v>2.2727272727272729</v>
      </c>
      <c r="M55" s="2">
        <f>AVERAGEIF(B2:B51,"方法细节类",M2:M51)</f>
        <v>0.45454545454545453</v>
      </c>
      <c r="N55" s="2">
        <f>AVERAGEIF(B2:B51,"方法细节类",N2:N51)</f>
        <v>0.36363636363636365</v>
      </c>
    </row>
    <row r="56" spans="1:15" ht="28" x14ac:dyDescent="0.25">
      <c r="A56" s="2" t="s">
        <v>148</v>
      </c>
      <c r="B56" s="2" t="s">
        <v>82</v>
      </c>
      <c r="E56" s="2">
        <f>AVERAGEIFS(E2:E51,B2:B51,"实验结果类",K2:K51,FALSE)</f>
        <v>0.72727272727272729</v>
      </c>
      <c r="F56" s="2">
        <f>AVERAGEIFS(F2:F51,B2:B51,"实验结果类",K2:K51,FALSE)</f>
        <v>0.90909090909090906</v>
      </c>
      <c r="G56" s="2">
        <f>AVERAGEIFS(G2:G51,B2:B51,"实验结果类",K2:K51,FALSE)</f>
        <v>0.90909090909090906</v>
      </c>
      <c r="H56" s="2">
        <f>AVERAGEIFS(H2:H51,B2:B51,"实验结果类",K2:K51,FALSE)</f>
        <v>0.81818181818181823</v>
      </c>
      <c r="I56" s="4">
        <f>AVERAGEIFS(I2:I51,B2:B51,"实验结果类",K2:K51,FALSE)</f>
        <v>0.90909090909090906</v>
      </c>
      <c r="J56" s="2">
        <f>AVERAGEIF(B2:B51,"实验结果类",J2:J51)</f>
        <v>0.80818181818181822</v>
      </c>
      <c r="L56" s="2">
        <f>AVERAGEIF(B2:B51,"实验结果类",L2:L51)</f>
        <v>1.9090909090909092</v>
      </c>
      <c r="M56" s="2">
        <f>AVERAGEIF(B2:B51,"实验结果类",M2:M51)</f>
        <v>0.27272727272727271</v>
      </c>
      <c r="N56" s="2">
        <f>AVERAGEIF(B2:B51,"实验结果类",N2:N51)</f>
        <v>0.36363636363636365</v>
      </c>
    </row>
    <row r="57" spans="1:15" ht="28" x14ac:dyDescent="0.25">
      <c r="A57" s="2" t="s">
        <v>149</v>
      </c>
      <c r="B57" s="2" t="s">
        <v>115</v>
      </c>
      <c r="E57" s="2">
        <f>AVERAGEIFS(E2:E51,B2:B51,"跨论文比较类",K2:K51,FALSE)</f>
        <v>0.75</v>
      </c>
      <c r="F57" s="2">
        <f>AVERAGEIFS(F2:F51,B2:B51,"跨论文比较类",K2:K51,FALSE)</f>
        <v>0.75</v>
      </c>
      <c r="G57" s="2">
        <f>AVERAGEIFS(G2:G51,B2:B51,"跨论文比较类",K2:K51,FALSE)</f>
        <v>0.75</v>
      </c>
      <c r="H57" s="2">
        <f>AVERAGEIFS(H2:H51,B2:B51,"跨论文比较类",K2:K51,FALSE)</f>
        <v>0.75</v>
      </c>
      <c r="I57" s="4">
        <f>AVERAGEIFS(I2:I51,B2:B51,"跨论文比较类",K2:K51,FALSE)</f>
        <v>0.46875</v>
      </c>
      <c r="J57" s="2">
        <f>AVERAGEIF(B2:B51,"跨论文比较类",J2:J51)</f>
        <v>0.61399999999999999</v>
      </c>
      <c r="L57" s="2">
        <f>AVERAGEIF(B2:B51,"跨论文比较类",L2:L51)</f>
        <v>2</v>
      </c>
      <c r="M57" s="2">
        <f>AVERAGEIF(B2:B51,"跨论文比较类",M2:M51)</f>
        <v>0.25</v>
      </c>
      <c r="N57" s="2">
        <f>AVERAGEIF(B2:B51,"跨论文比较类",N2:N51)</f>
        <v>1.125</v>
      </c>
    </row>
    <row r="58" spans="1:15" ht="28" x14ac:dyDescent="0.25">
      <c r="A58" s="2" t="s">
        <v>150</v>
      </c>
      <c r="B58" s="2" t="s">
        <v>136</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2026-06-01T09:35:27Z</dcterms:created>
  <dcterms:modified xsi:type="dcterms:W3CDTF">2026-06-02T06:26:41Z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bebdf52d-b4d5-41a8-bb23-4144a5c9a414</vt:lpwstr>
  </property>
</Properties>
</file>